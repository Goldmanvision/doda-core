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_id" sheetId="1" r:id="rId5"/>
    <sheet state="visible" name="band_id" sheetId="2" r:id="rId6"/>
    <sheet state="visible" name="person_id" sheetId="3" r:id="rId7"/>
    <sheet state="visible" name="trait_id" sheetId="4" r:id="rId8"/>
    <sheet state="visible" name="task_type_id" sheetId="5" r:id="rId9"/>
    <sheet state="visible" name="location_id" sheetId="6" r:id="rId10"/>
    <sheet state="visible" name="case_id" sheetId="7" r:id="rId11"/>
    <sheet state="visible" name="objective_id" sheetId="8" r:id="rId12"/>
    <sheet state="visible" name="task_id" sheetId="9" r:id="rId13"/>
    <sheet state="visible" name="assignment_id" sheetId="10" r:id="rId14"/>
    <sheet state="visible" name="evidence_id" sheetId="11" r:id="rId15"/>
    <sheet state="visible" name="decision_id" sheetId="12" r:id="rId16"/>
    <sheet state="hidden" name="Q&amp;A" sheetId="13" r:id="rId17"/>
  </sheets>
  <definedNames/>
  <calcPr/>
</workbook>
</file>

<file path=xl/sharedStrings.xml><?xml version="1.0" encoding="utf-8"?>
<sst xmlns="http://schemas.openxmlformats.org/spreadsheetml/2006/main" count="978" uniqueCount="610">
  <si>
    <t>stat_id</t>
  </si>
  <si>
    <t>band_id</t>
  </si>
  <si>
    <t>trait_id</t>
  </si>
  <si>
    <t>person_id</t>
  </si>
  <si>
    <t>display_name</t>
  </si>
  <si>
    <t>internal_name</t>
  </si>
  <si>
    <t>baseHP</t>
  </si>
  <si>
    <t>minimum_value</t>
  </si>
  <si>
    <t>health_lvl</t>
  </si>
  <si>
    <t>maximum_value</t>
  </si>
  <si>
    <t>default_value</t>
  </si>
  <si>
    <t>direction</t>
  </si>
  <si>
    <t>changes_over_time</t>
  </si>
  <si>
    <t>currentHP</t>
  </si>
  <si>
    <t>high_value_meaning</t>
  </si>
  <si>
    <t>affected_systems</t>
  </si>
  <si>
    <t>low_value_meaning</t>
  </si>
  <si>
    <t>injury</t>
  </si>
  <si>
    <t>description</t>
  </si>
  <si>
    <t>persistent</t>
  </si>
  <si>
    <t>fatigue</t>
  </si>
  <si>
    <t>v1_status</t>
  </si>
  <si>
    <t>player_visible</t>
  </si>
  <si>
    <t>nutrition</t>
  </si>
  <si>
    <t>notes</t>
  </si>
  <si>
    <t>severity</t>
  </si>
  <si>
    <t>stress</t>
  </si>
  <si>
    <t>LOYALTY</t>
  </si>
  <si>
    <t>workload</t>
  </si>
  <si>
    <t>HEALTH</t>
  </si>
  <si>
    <t>action_word</t>
  </si>
  <si>
    <t>incapacitated_flag</t>
  </si>
  <si>
    <t>assignment_effect</t>
  </si>
  <si>
    <t>current_moodlet_id</t>
  </si>
  <si>
    <t>foims_warning</t>
  </si>
  <si>
    <t>last_updated_strategic_minute</t>
  </si>
  <si>
    <t>Health</t>
  </si>
  <si>
    <t>Loyalty</t>
  </si>
  <si>
    <t>health</t>
  </si>
  <si>
    <t>final_status</t>
  </si>
  <si>
    <t>Option 1</t>
  </si>
  <si>
    <t>FATIGUE_ALERT</t>
  </si>
  <si>
    <t>positive</t>
  </si>
  <si>
    <t>FATIGUE</t>
  </si>
  <si>
    <t>Healthier condition</t>
  </si>
  <si>
    <t>Compliance; retention; story events</t>
  </si>
  <si>
    <t>Death or critical condition</t>
  </si>
  <si>
    <t>Commitment to the department and willingness to follow orders</t>
  </si>
  <si>
    <t>LATER</t>
  </si>
  <si>
    <t>PLANNED</t>
  </si>
  <si>
    <t>Alert</t>
  </si>
  <si>
    <t>Zero should be reserved for death</t>
  </si>
  <si>
    <t>Low</t>
  </si>
  <si>
    <t>DISCIPLINE</t>
  </si>
  <si>
    <t>None</t>
  </si>
  <si>
    <t>Discipline</t>
  </si>
  <si>
    <t>Placeholder range</t>
  </si>
  <si>
    <t>Fatigue; workload; compliance</t>
  </si>
  <si>
    <t>INJURY</t>
  </si>
  <si>
    <t>Ability to sustain procedure and self management under pressure</t>
  </si>
  <si>
    <t>Injury</t>
  </si>
  <si>
    <t>RESILIENCE</t>
  </si>
  <si>
    <t>Resilience</t>
  </si>
  <si>
    <t>negative</t>
  </si>
  <si>
    <t>More severe trauma</t>
  </si>
  <si>
    <t>No meaningful injury</t>
  </si>
  <si>
    <t>Healthy starting fixture</t>
  </si>
  <si>
    <t>Stress; recovery; injury</t>
  </si>
  <si>
    <t>Resistance to operational strain and speed of recovery</t>
  </si>
  <si>
    <t>Keep separate from overall health</t>
  </si>
  <si>
    <t>FATIGUE_COLLAPSE</t>
  </si>
  <si>
    <t>Option 2</t>
  </si>
  <si>
    <t>BRAVERY</t>
  </si>
  <si>
    <t>Bravery</t>
  </si>
  <si>
    <t>Fatigue</t>
  </si>
  <si>
    <t>Near Collapse</t>
  </si>
  <si>
    <t>Critical</t>
  </si>
  <si>
    <t>Resting</t>
  </si>
  <si>
    <t>Hard block</t>
  </si>
  <si>
    <t>Dangerous task eligibility; compliance</t>
  </si>
  <si>
    <t>Immediate rest required</t>
  </si>
  <si>
    <t>Willingness to enter hazardous situations</t>
  </si>
  <si>
    <t>Greater exhaustion</t>
  </si>
  <si>
    <t>Fully rested</t>
  </si>
  <si>
    <t>PROFESSIONALISM</t>
  </si>
  <si>
    <t>Professionalism</t>
  </si>
  <si>
    <t>One hundred likely means collapse or unconsciousness</t>
  </si>
  <si>
    <t>NUTRITION</t>
  </si>
  <si>
    <t>Nutrition</t>
  </si>
  <si>
    <t>Task quality; compliance; public trust</t>
  </si>
  <si>
    <t>Reliability and adherence to departmental procedure</t>
  </si>
  <si>
    <t>FATIGUE_EXHAUSTED</t>
  </si>
  <si>
    <t>Well fed and hydrated</t>
  </si>
  <si>
    <t>PARANORMAL_SENSITIVITY</t>
  </si>
  <si>
    <t>Starvation or severe deprivation</t>
  </si>
  <si>
    <t>Paranormal Sensitivity</t>
  </si>
  <si>
    <t>Exhausted</t>
  </si>
  <si>
    <t>High</t>
  </si>
  <si>
    <t>Use Nutrition internally if high values are good</t>
  </si>
  <si>
    <t>Major penalty</t>
  </si>
  <si>
    <t>Rest recommended</t>
  </si>
  <si>
    <t>Anomaly detection; stress; case outcomes</t>
  </si>
  <si>
    <t>STRESS</t>
  </si>
  <si>
    <t>Capacity to perceive or react to anomalous phenomena</t>
  </si>
  <si>
    <t>Stress</t>
  </si>
  <si>
    <t>FATIGUE_FRESH</t>
  </si>
  <si>
    <t>Greater operational strain</t>
  </si>
  <si>
    <t>Composed and unburdened</t>
  </si>
  <si>
    <t>Fresh</t>
  </si>
  <si>
    <t>Do not use psychiatric diagnosis as default band</t>
  </si>
  <si>
    <t>WORKLOAD</t>
  </si>
  <si>
    <t>FATIGUE_TIRED</t>
  </si>
  <si>
    <t>Workload</t>
  </si>
  <si>
    <t>Tired</t>
  </si>
  <si>
    <t>Moderate</t>
  </si>
  <si>
    <t>Greater current commitment</t>
  </si>
  <si>
    <t>Minor penalty</t>
  </si>
  <si>
    <t>Idle and available</t>
  </si>
  <si>
    <t>Monitor condition</t>
  </si>
  <si>
    <t>ACTIVE</t>
  </si>
  <si>
    <t>Current personnel snapshot exposes workload</t>
  </si>
  <si>
    <t>FATIGUE_UNCONSCIOUS</t>
  </si>
  <si>
    <t>loyalty</t>
  </si>
  <si>
    <t>Unconscious</t>
  </si>
  <si>
    <t>Terminal</t>
  </si>
  <si>
    <t>Recovery</t>
  </si>
  <si>
    <t>Greater departmental commitment</t>
  </si>
  <si>
    <t>Low commitment or possible refusal</t>
  </si>
  <si>
    <t>Recommended endpoint</t>
  </si>
  <si>
    <t>Use for compliance and long term personnel behavior</t>
  </si>
  <si>
    <t>HEALTH_CRITICAL</t>
  </si>
  <si>
    <t>SKILL</t>
  </si>
  <si>
    <t>Skill</t>
  </si>
  <si>
    <t>skill</t>
  </si>
  <si>
    <t>Healing</t>
  </si>
  <si>
    <t>Critical medical condition</t>
  </si>
  <si>
    <t>Greater task competence</t>
  </si>
  <si>
    <t>Limited task competence</t>
  </si>
  <si>
    <t>HEALTH_DEAD</t>
  </si>
  <si>
    <t>Current personnel snapshot exposes skill</t>
  </si>
  <si>
    <t>Dead</t>
  </si>
  <si>
    <t>Deceased</t>
  </si>
  <si>
    <t>Zero health reserved for death</t>
  </si>
  <si>
    <t>HEALTH_EXCELLENT</t>
  </si>
  <si>
    <t>Excellent</t>
  </si>
  <si>
    <t>HEALTH_INCAPACITATED</t>
  </si>
  <si>
    <t>Incapacitated</t>
  </si>
  <si>
    <t>Medical rescue required</t>
  </si>
  <si>
    <t>Persistent strategic state</t>
  </si>
  <si>
    <t>HEALTH_STABLE</t>
  </si>
  <si>
    <t>Stable</t>
  </si>
  <si>
    <t>Recovering</t>
  </si>
  <si>
    <t>HEALTH_WOUNDED</t>
  </si>
  <si>
    <t>Wounded</t>
  </si>
  <si>
    <t>Medical attention required</t>
  </si>
  <si>
    <t>INJURY_CRITICAL</t>
  </si>
  <si>
    <t>Critical Injury</t>
  </si>
  <si>
    <t>Medical Evacuation</t>
  </si>
  <si>
    <t>Emergency medical condition</t>
  </si>
  <si>
    <t>INJURY_MINOR</t>
  </si>
  <si>
    <t>Minor Injury</t>
  </si>
  <si>
    <t>Minor injury</t>
  </si>
  <si>
    <t>INJURY_MODERATE</t>
  </si>
  <si>
    <t>Moderate Injury</t>
  </si>
  <si>
    <t>Treatment recommended</t>
  </si>
  <si>
    <t>task_type_id</t>
  </si>
  <si>
    <t>INJURY_NONE</t>
  </si>
  <si>
    <t>Uninjured</t>
  </si>
  <si>
    <t>task_category</t>
  </si>
  <si>
    <t>base_duration_minutes</t>
  </si>
  <si>
    <t>No acute trauma</t>
  </si>
  <si>
    <t>base_workload</t>
  </si>
  <si>
    <t>required_skill</t>
  </si>
  <si>
    <t>allowed_location_type</t>
  </si>
  <si>
    <t>INJURY_SEVERE</t>
  </si>
  <si>
    <t>condition_cost_profile</t>
  </si>
  <si>
    <t>primary_output</t>
  </si>
  <si>
    <t>Severe Injury</t>
  </si>
  <si>
    <t>assignment_limit</t>
  </si>
  <si>
    <t>Hard field work block</t>
  </si>
  <si>
    <t>Medical treatment required</t>
  </si>
  <si>
    <t>TASK_REST</t>
  </si>
  <si>
    <t>PERSONAL_CARE</t>
  </si>
  <si>
    <t>NUTRITION_HUNGRY</t>
  </si>
  <si>
    <t>Hungry</t>
  </si>
  <si>
    <t>SAFE_LOCATION</t>
  </si>
  <si>
    <t>Eating</t>
  </si>
  <si>
    <t>location_id</t>
  </si>
  <si>
    <t>Fatigue recovery</t>
  </si>
  <si>
    <t>Meal recommended</t>
  </si>
  <si>
    <t>RECOVERY</t>
  </si>
  <si>
    <t>location_type</t>
  </si>
  <si>
    <t>parent_region</t>
  </si>
  <si>
    <t>safety_level</t>
  </si>
  <si>
    <t>Basic personal care task</t>
  </si>
  <si>
    <t>medical_capability</t>
  </si>
  <si>
    <t>food_capability</t>
  </si>
  <si>
    <t>NUTRITION_MALNOURISHED</t>
  </si>
  <si>
    <t>TASK_EAT</t>
  </si>
  <si>
    <t>rest_capability</t>
  </si>
  <si>
    <t>therapy_capability</t>
  </si>
  <si>
    <t>active_flag</t>
  </si>
  <si>
    <t>Malnourished</t>
  </si>
  <si>
    <t>LOC_HQ</t>
  </si>
  <si>
    <t>Department Headquarters</t>
  </si>
  <si>
    <t>HEADQUARTERS</t>
  </si>
  <si>
    <t>Food and recovery required</t>
  </si>
  <si>
    <t>PRIMARY_REGION</t>
  </si>
  <si>
    <t>Nutrition recovery</t>
  </si>
  <si>
    <t>Initial safe location</t>
  </si>
  <si>
    <t>LOC_MORROW_WATERWORKS</t>
  </si>
  <si>
    <t>NUTRITION_SATED</t>
  </si>
  <si>
    <t>Requires food resource later</t>
  </si>
  <si>
    <t>Morrow Point Waterworks</t>
  </si>
  <si>
    <t>FIELD_LOCATION</t>
  </si>
  <si>
    <t>TASK_HEAL</t>
  </si>
  <si>
    <t>Sated</t>
  </si>
  <si>
    <t>MEDICAL</t>
  </si>
  <si>
    <t>Suggested first proof investigation site</t>
  </si>
  <si>
    <t>LOC_CITY_HOSPITAL</t>
  </si>
  <si>
    <t>MEDICAL_LOCATION</t>
  </si>
  <si>
    <t>St Bartholomew Hospital</t>
  </si>
  <si>
    <t>Injury recovery</t>
  </si>
  <si>
    <t>Requires care capability</t>
  </si>
  <si>
    <t>NUTRITION_STARVING</t>
  </si>
  <si>
    <t>TASK_THERAPY</t>
  </si>
  <si>
    <t>Later medical recovery location</t>
  </si>
  <si>
    <t>Therapy</t>
  </si>
  <si>
    <t>MENTAL_HEALTH</t>
  </si>
  <si>
    <t>Starving</t>
  </si>
  <si>
    <t>Severe deprivation</t>
  </si>
  <si>
    <t>THERAPY_LOCATION</t>
  </si>
  <si>
    <t>Stress recovery</t>
  </si>
  <si>
    <t>Requires grounded and respectful presentation</t>
  </si>
  <si>
    <t>NUTRITION_UNDERNOURISHED</t>
  </si>
  <si>
    <t>TASK_SURVEY</t>
  </si>
  <si>
    <t>Survey Location</t>
  </si>
  <si>
    <t>OPERATIONAL</t>
  </si>
  <si>
    <t>Undernourished</t>
  </si>
  <si>
    <t>Food recommended</t>
  </si>
  <si>
    <t>Fatigue and stress gain</t>
  </si>
  <si>
    <t>CASE_PROGRESS</t>
  </si>
  <si>
    <t>Good first proof task</t>
  </si>
  <si>
    <t>TASK_INTERVIEW</t>
  </si>
  <si>
    <t>STRESS_ACUTE</t>
  </si>
  <si>
    <t>Interview Witness</t>
  </si>
  <si>
    <t>Acute Stress Reaction</t>
  </si>
  <si>
    <t>Hard high risk task block</t>
  </si>
  <si>
    <t>Clinical attention required</t>
  </si>
  <si>
    <t>Stress gain</t>
  </si>
  <si>
    <t>STRESS_BREAKDOWN</t>
  </si>
  <si>
    <t>Optional first proof task</t>
  </si>
  <si>
    <t>TASK_SECURE_EVIDENCE</t>
  </si>
  <si>
    <t>Breakdown</t>
  </si>
  <si>
    <t>Secure Evidence</t>
  </si>
  <si>
    <t>Immediate intervention required</t>
  </si>
  <si>
    <t>Do not equate with a diagnosis</t>
  </si>
  <si>
    <t>EVIDENCE</t>
  </si>
  <si>
    <t>STRESS_COMPOSED</t>
  </si>
  <si>
    <t>Produces persistent evidence</t>
  </si>
  <si>
    <t>TASK_ANALYZE_EVIDENCE</t>
  </si>
  <si>
    <t>Composed</t>
  </si>
  <si>
    <t>Analyze Evidence</t>
  </si>
  <si>
    <t>RESEARCH</t>
  </si>
  <si>
    <t>RESEARCH_LOCATION</t>
  </si>
  <si>
    <t>Fatigue gain</t>
  </si>
  <si>
    <t>STRESS_CONCERNED</t>
  </si>
  <si>
    <t>Department or lab task</t>
  </si>
  <si>
    <t>Concerned</t>
  </si>
  <si>
    <t>case_id</t>
  </si>
  <si>
    <t>STRESS_OVERWHELMED</t>
  </si>
  <si>
    <t>case_track</t>
  </si>
  <si>
    <t>priority</t>
  </si>
  <si>
    <t>status</t>
  </si>
  <si>
    <t>Overwhelmed</t>
  </si>
  <si>
    <t>created_strategic_minute</t>
  </si>
  <si>
    <t>deadline_strategic_minute</t>
  </si>
  <si>
    <t>escalation</t>
  </si>
  <si>
    <t>current_owner_person_id</t>
  </si>
  <si>
    <t>Recovery recommended</t>
  </si>
  <si>
    <t>summary</t>
  </si>
  <si>
    <t>CASE_MORROW_001</t>
  </si>
  <si>
    <t>Morrow Point Anomalous Emissions</t>
  </si>
  <si>
    <t>PARANORMAL</t>
  </si>
  <si>
    <t>OPEN</t>
  </si>
  <si>
    <t>Investigate reports of anomalous emissions at the waterworks</t>
  </si>
  <si>
    <t>STRESS_PANICKED</t>
  </si>
  <si>
    <t>Panicked</t>
  </si>
  <si>
    <t>Operationally unsafe</t>
  </si>
  <si>
    <t>Temporary functional state</t>
  </si>
  <si>
    <t>objective_id</t>
  </si>
  <si>
    <t>objective_type</t>
  </si>
  <si>
    <t>STRESS_STRAINED</t>
  </si>
  <si>
    <t>required_progress</t>
  </si>
  <si>
    <t>current_progress</t>
  </si>
  <si>
    <t>required_flag</t>
  </si>
  <si>
    <t>Strained</t>
  </si>
  <si>
    <t>success_result</t>
  </si>
  <si>
    <t>Decompress</t>
  </si>
  <si>
    <t>failure_result</t>
  </si>
  <si>
    <t>Stress elevated</t>
  </si>
  <si>
    <t>OBJ_MORROW_SURVEY</t>
  </si>
  <si>
    <t>Survey the Waterworks</t>
  </si>
  <si>
    <t>SURVEY</t>
  </si>
  <si>
    <t>PENDING</t>
  </si>
  <si>
    <t>WORKLOAD_AVAILABLE</t>
  </si>
  <si>
    <t>Unlock evidence task</t>
  </si>
  <si>
    <t>Case escalation increases</t>
  </si>
  <si>
    <t>Primary objective</t>
  </si>
  <si>
    <t>OBJ_MORROW_EVIDENCE</t>
  </si>
  <si>
    <t>Available</t>
  </si>
  <si>
    <t>Secure the Emissions Log</t>
  </si>
  <si>
    <t>EVIDENCE_RECOVERY</t>
  </si>
  <si>
    <t>Prepared but lightly committed</t>
  </si>
  <si>
    <t>Evidence added to custody</t>
  </si>
  <si>
    <t>Optional evidence lost</t>
  </si>
  <si>
    <t>Optional objective</t>
  </si>
  <si>
    <t>WORKLOAD_COMMITTED</t>
  </si>
  <si>
    <t>Committed</t>
  </si>
  <si>
    <t>High commitment</t>
  </si>
  <si>
    <t>Limit additional work</t>
  </si>
  <si>
    <t>WORKLOAD_EMERGENCY_DEPLOYMENT</t>
  </si>
  <si>
    <t>Emergency Deployment</t>
  </si>
  <si>
    <t>Hard new task block</t>
  </si>
  <si>
    <t>Emergency commitment</t>
  </si>
  <si>
    <t>Consider separate deployment state later</t>
  </si>
  <si>
    <t>WORKLOAD_FULLY_ENGAGED</t>
  </si>
  <si>
    <t>Fully Engaged</t>
  </si>
  <si>
    <t>Near capacity</t>
  </si>
  <si>
    <t>Limit new assignments</t>
  </si>
  <si>
    <t>WORKLOAD_IDLE</t>
  </si>
  <si>
    <t>Idle</t>
  </si>
  <si>
    <t>task_id</t>
  </si>
  <si>
    <t>Available for assignment</t>
  </si>
  <si>
    <t>state</t>
  </si>
  <si>
    <t>WORKLOAD_MAXIMUM_EFFORT</t>
  </si>
  <si>
    <t>required_work</t>
  </si>
  <si>
    <t>assigned_person_count</t>
  </si>
  <si>
    <t>output_id</t>
  </si>
  <si>
    <t>Maximum Effort</t>
  </si>
  <si>
    <t>TASK_MORROW_SURVEY_001</t>
  </si>
  <si>
    <t>Overextended</t>
  </si>
  <si>
    <t>Temporary emergency state</t>
  </si>
  <si>
    <t>Survey Anomalous Emissions</t>
  </si>
  <si>
    <t>Primary proof task</t>
  </si>
  <si>
    <t>TASK_MORROW_EVIDENCE_001</t>
  </si>
  <si>
    <t>WORKLOAD_TASKED</t>
  </si>
  <si>
    <t>Tasked</t>
  </si>
  <si>
    <t>Current task load</t>
  </si>
  <si>
    <t>EVID_MORROW_LOG_001</t>
  </si>
  <si>
    <t>Optional evidence task</t>
  </si>
  <si>
    <t>Normal work state</t>
  </si>
  <si>
    <t>assignment_id</t>
  </si>
  <si>
    <t>assignment_state</t>
  </si>
  <si>
    <t>assignment_role</t>
  </si>
  <si>
    <t>assigned_strategic_minute</t>
  </si>
  <si>
    <t>start_strategic_minute</t>
  </si>
  <si>
    <t>end_strategic_minute</t>
  </si>
  <si>
    <t>workload_contribution</t>
  </si>
  <si>
    <t>release_reason</t>
  </si>
  <si>
    <t>ASSIGN_MORROW_001</t>
  </si>
  <si>
    <t>LEAD_INVESTIGATOR</t>
  </si>
  <si>
    <t>Initial proof assignment</t>
  </si>
  <si>
    <t>ASSIGN_MORROW_002</t>
  </si>
  <si>
    <t>SUPPORT_INVESTIGATOR</t>
  </si>
  <si>
    <t>evidence_id</t>
  </si>
  <si>
    <t>evidence_type</t>
  </si>
  <si>
    <t>source_case_id</t>
  </si>
  <si>
    <t>source_task_id</t>
  </si>
  <si>
    <t>source_location_id</t>
  </si>
  <si>
    <t>custody_state</t>
  </si>
  <si>
    <t>quality</t>
  </si>
  <si>
    <t>analysis_state</t>
  </si>
  <si>
    <t>case_track_effect</t>
  </si>
  <si>
    <t>Waterworks Emissions Log</t>
  </si>
  <si>
    <t>DOCUMENT</t>
  </si>
  <si>
    <t>UNRECOVERED</t>
  </si>
  <si>
    <t>UNKNOWN</t>
  </si>
  <si>
    <t>UNANALYZED</t>
  </si>
  <si>
    <t>Optional first proof evidence</t>
  </si>
  <si>
    <t>#</t>
  </si>
  <si>
    <t>decision_id</t>
  </si>
  <si>
    <t>topic</t>
  </si>
  <si>
    <t>question</t>
  </si>
  <si>
    <t>Partly resolved</t>
  </si>
  <si>
    <t>&amp;</t>
  </si>
  <si>
    <t>options</t>
  </si>
  <si>
    <t>Answers</t>
  </si>
  <si>
    <t>selected_answer</t>
  </si>
  <si>
    <t>owner</t>
  </si>
  <si>
    <t>decision_date</t>
  </si>
  <si>
    <t>affected_sheets</t>
  </si>
  <si>
    <t>reconsideration_trigger</t>
  </si>
  <si>
    <t>What does zero and one hundred fatigue mean?</t>
  </si>
  <si>
    <t>DEC_001</t>
  </si>
  <si>
    <t>Fatigue Endpoint</t>
  </si>
  <si>
    <t>Zero fatigue means "no fatigue, energetic, fully rested." One-hundred percent means unconsciousness. 90-100 is one state.</t>
  </si>
  <si>
    <t>What does one hundred fatigue mean</t>
  </si>
  <si>
    <t>Maximum exhaustion; collapse; unconsciousness</t>
  </si>
  <si>
    <t>Project Owner</t>
  </si>
  <si>
    <t>Stat Catalog; Condition Bands</t>
  </si>
  <si>
    <t>Before native condition schema</t>
  </si>
  <si>
    <t>Tentative answer: zero means fully rested; one hundred means collapse or unconsciousness.</t>
  </si>
  <si>
    <t>DEC_002</t>
  </si>
  <si>
    <t>Nutrition Direction</t>
  </si>
  <si>
    <t>Should the value be named Hunger or Nutrition</t>
  </si>
  <si>
    <t>Hunger decreases when fed; Nutrition increases when fed</t>
  </si>
  <si>
    <t>Still needed: decide whether 90 to 100 is one state, whether unconsciousness is exactly 100, and whether collapse creates an automatic rescue or recovery task.</t>
  </si>
  <si>
    <t>Before UI naming is approved</t>
  </si>
  <si>
    <t>DEC_003</t>
  </si>
  <si>
    <t>Health Zero</t>
  </si>
  <si>
    <t>Can health reach zero without death</t>
  </si>
  <si>
    <t>Zero means death; zero means incapacitated</t>
  </si>
  <si>
    <t>Before death and rescue rules</t>
  </si>
  <si>
    <t>DEC_004</t>
  </si>
  <si>
    <t>Stress Endpoint</t>
  </si>
  <si>
    <t>What is the final ordinary stress state</t>
  </si>
  <si>
    <t>What does zero and one hundred hunger mean?</t>
  </si>
  <si>
    <t>Panicked; Breakdown; Catatonic; Psychotic Episode</t>
  </si>
  <si>
    <t>Cachexia        Emaciation        Undernutrition        Malnutrition        Hungry        Sated        Eating</t>
  </si>
  <si>
    <t>Condition Bands; Moodlet Catalog</t>
  </si>
  <si>
    <t>Before final band names</t>
  </si>
  <si>
    <t>Tentative answer: use Nutrition or Satiety internally; zero means starvation or severe deprivation, and one hundred means fully fed.</t>
  </si>
  <si>
    <t>DEC_005</t>
  </si>
  <si>
    <t>Automatic Care</t>
  </si>
  <si>
    <t>Do off duty agents automatically eat and rest</t>
  </si>
  <si>
    <t>Automatic; scheduled only; mixed policy</t>
  </si>
  <si>
    <t>Still needed: choose the final internal stat name and player-facing label.</t>
  </si>
  <si>
    <t>Action Catalog; Condition Rules</t>
  </si>
  <si>
    <t>Before strategic time rules</t>
  </si>
  <si>
    <t>DEC_006</t>
  </si>
  <si>
    <t>Override Policy</t>
  </si>
  <si>
    <t>Can player override safety restrictions</t>
  </si>
  <si>
    <t>Never; limited emergency override; unrestricted</t>
  </si>
  <si>
    <t>Assignment Rules; Compliance Rules</t>
  </si>
  <si>
    <t>What does zero health mean?</t>
  </si>
  <si>
    <t>Health is the overall accumulated health score of the player, which takes into account injury, hunger, current HP / base HP, etc. Death can occur from both health loss and field-events outcomes, i.e. combat or paranormal event, but instant death is very rare.</t>
  </si>
  <si>
    <t>Before player command contract</t>
  </si>
  <si>
    <t>Tentative answer: zero means dead.</t>
  </si>
  <si>
    <t>Still needed: formally confirm it and define whether death can occur from health loss alone, field-event outcomes, or both.</t>
  </si>
  <si>
    <t>implementation_scope</t>
  </si>
  <si>
    <t>Column 1</t>
  </si>
  <si>
    <t>Column 2</t>
  </si>
  <si>
    <t>Column 3</t>
  </si>
  <si>
    <t>Column 4</t>
  </si>
  <si>
    <t>Column 5</t>
  </si>
  <si>
    <t>Column 6</t>
  </si>
  <si>
    <t>Column 7</t>
  </si>
  <si>
    <t>Can a near-zero health state exist without death?</t>
  </si>
  <si>
    <t>Column 8</t>
  </si>
  <si>
    <t>If an agent is 1-10% health, they are incapacitated. 0% is death. Another agent must be assigned to retrieve the agent.</t>
  </si>
  <si>
    <t>Column 9</t>
  </si>
  <si>
    <t>Column 10</t>
  </si>
  <si>
    <t>Column 11</t>
  </si>
  <si>
    <t>Column 12</t>
  </si>
  <si>
    <t>Column 13</t>
  </si>
  <si>
    <t>Tentative answer: yes, through Incapacitated.</t>
  </si>
  <si>
    <t>Column 14</t>
  </si>
  <si>
    <t>Column 15</t>
  </si>
  <si>
    <t>Column 16</t>
  </si>
  <si>
    <t>Column 17</t>
  </si>
  <si>
    <t>Column 18</t>
  </si>
  <si>
    <t>Still needed: define the exact threshold, rescue mechanics, medical transport, and whether incapacitation can worsen into death.</t>
  </si>
  <si>
    <t>DEC_HEALTH_FORMULA_V1</t>
  </si>
  <si>
    <t>What exact formula derives Health from Current HP, Base HP, Injury, Nutrition, and defined events?</t>
  </si>
  <si>
    <t>TBD</t>
  </si>
  <si>
    <t>DOCUMENTED</t>
  </si>
  <si>
    <t>What are health and injury separately?</t>
  </si>
  <si>
    <t>injury affects the tick rate of other vitals, and injuries of 70% or higher incapacitate the agent. The higher the injury level, the worse the tick rates are for the agent vitals.</t>
  </si>
  <si>
    <t>DoDA Design</t>
  </si>
  <si>
    <t>StatsCat; CondRules; CondBandsCat; ActivePersConds</t>
  </si>
  <si>
    <t>Workbook design; native planned</t>
  </si>
  <si>
    <t>Tentative answer: health is overall physiological condition; injury is acute trauma.</t>
  </si>
  <si>
    <t>DEC_HP_RANGES_V1</t>
  </si>
  <si>
    <t>What are the allowed ranges and creation rules for Current HP and Base HP?</t>
  </si>
  <si>
    <t>Still needed: define the exact interaction formula and whether severe injury can exist while health remains high.</t>
  </si>
  <si>
    <t>StatsCat; ActivePersRoster; ActivePersConds; TraitDefsCat</t>
  </si>
  <si>
    <t>What should final health and injury names be?</t>
  </si>
  <si>
    <t>Health        Dead        Incapacitated        Very Unhealthy        Unhealthy        Healthy        Very Healthy        Recovering</t>
  </si>
  <si>
    <t>DEC_INJURY_VITAL_MULTIPLIER_V1</t>
  </si>
  <si>
    <t>What formula converts Injury into multipliers affecting vital tick rates and recovery?</t>
  </si>
  <si>
    <t>Tentative answer: plain medical-operational terminology.</t>
  </si>
  <si>
    <t>CondRules; StatsCat; ActivePersConds; RemedyCat</t>
  </si>
  <si>
    <t>Still needed: choose the final names, thresholds, and whether “Wounded,” “Critical,” “Incapacitated,” and “Catastrophic” belong to health, injury, or both.</t>
  </si>
  <si>
    <t>DEC_CONDITION_TICK_RATES_V1</t>
  </si>
  <si>
    <t>Conditions</t>
  </si>
  <si>
    <t>What are the baseline strategic tick rates for all condition changes?</t>
  </si>
  <si>
    <t>CondRules; StratTimeCat; StatsCat</t>
  </si>
  <si>
    <t>How does fatigue increase and recover?</t>
  </si>
  <si>
    <t>Fatigue is calculated by workload, amount of time on-duty, and stress level. Combat, paranormal events, etc dramatically increase fatigue.</t>
  </si>
  <si>
    <t>DEC_FATIGUE_RATES_V1</t>
  </si>
  <si>
    <t>What are the Fatigue gain, maximum-workload escalation, and recovery rates?</t>
  </si>
  <si>
    <t>Tentative answer: active work and deployment drive fatigue; rest, sleep, and medical recovery restore it.</t>
  </si>
  <si>
    <t>CondRules; CondBandsCat; RemedyCat; ActivePersConds</t>
  </si>
  <si>
    <t>Still needed: set the actual sources, rate values, thresholds, and interactions with injury, stress, and nutrition.</t>
  </si>
  <si>
    <t>DEC_NUTRITION_RATES_V1</t>
  </si>
  <si>
    <t>What are the static creation decay range, active-work modifier, meal recovery, and meal-duration values?</t>
  </si>
  <si>
    <t>CondRules; StatsCat; CondBandsCat; RemedyCat; ActivePersConds</t>
  </si>
  <si>
    <t>How do nutrition and hunger work?</t>
  </si>
  <si>
    <t>decay rate should be based on a static integer randomly assigned to the agent when the agent is first created. This will determine their hunger decay rate. Agents have to be off-duty to eat. Eating takes between 1-2 hours.</t>
  </si>
  <si>
    <t>DEC_STRESS_RATES_V1</t>
  </si>
  <si>
    <t>What are the event gains, passive changes, therapy effects, and recovery rates for Stress?</t>
  </si>
  <si>
    <t>Tentative answer: slow time-based decline plus increased consumption under activity; performance suffers before sustained deprivation damages health.</t>
  </si>
  <si>
    <t>CondRules; EventsCat; RemedyCat; ActivePersConds</t>
  </si>
  <si>
    <t>Still needed: settle the decay rate, eating mechanics, health-damage threshold, and whether off-duty agents eat automatically.</t>
  </si>
  <si>
    <t>DEC_STRESS_BAND_NAMES_V1</t>
  </si>
  <si>
    <t>What are the final readable Stress band names below the forced-off-duty threshold?</t>
  </si>
  <si>
    <t>CondBandsCat; MoodletsCat; FXFieldsCat</t>
  </si>
  <si>
    <t>Workbook design; FOIMS deferred</t>
  </si>
  <si>
    <t>How do injury and recovery work?</t>
  </si>
  <si>
    <t>Personnel can be assigned medical attention, therapy, off-duty time, etc. NPCs will flag severe medical conditions and stress-levels and request appropriate remediation. The player can then select on the personnel profile which remediation to assign.</t>
  </si>
  <si>
    <t>DEC_LOYALTY_CHANGE_V1</t>
  </si>
  <si>
    <t>What formula governs Loyalty changes from care, neglect, events, leadership decisions, and outcomes?</t>
  </si>
  <si>
    <t>Tentative answer: serious injury needs treatment, time, and care capability; field work and neglect can worsen injury.</t>
  </si>
  <si>
    <t>TraitDefsCat; ActivePersTraits; ComplianceCat; CondRules; EventsCat</t>
  </si>
  <si>
    <t>Still needed: define stabilization, passive recovery, care locations, medical resources, permanent injuries, and risk of death.</t>
  </si>
  <si>
    <t>DEC_CULT_RISK_V1</t>
  </si>
  <si>
    <t>Compliance</t>
  </si>
  <si>
    <t>What Loyalty and Stress thresholds create cult-risk, and how does risk escalate?</t>
  </si>
  <si>
    <t>What stress events and recovery actions exist?</t>
  </si>
  <si>
    <t>TBD - I have to finish the event and remediation list</t>
  </si>
  <si>
    <t>ComplianceCat; CondRules; EventsCat; ActivePersTraits</t>
  </si>
  <si>
    <t>DEC_RETRIEVAL_RULES_V1</t>
  </si>
  <si>
    <t>Tentative answer: combat, injury, loss, danger, paranormal exposure, hunger, isolation, and overwork raise stress; rest, time away, therapy, support, and recovery reduce it.</t>
  </si>
  <si>
    <t>Retrieval</t>
  </si>
  <si>
    <t>What are retrieval eligibility, timing, risk, transport, safety, and completion rules?</t>
  </si>
  <si>
    <t>Still needed: choose the actual event list, numeric changes, moodlet triggers, duration, and therapy requirements.</t>
  </si>
  <si>
    <t>RemedyCat; RemedyRequests; PersLocCat; Locations; Tasks; Assignments</t>
  </si>
  <si>
    <t>DEC_MEDICAL_RECOVERY_V1</t>
  </si>
  <si>
    <t>Medical</t>
  </si>
  <si>
    <t>What treatment, stabilization, facility, resource, and recovery rules govern injury and incapacity?</t>
  </si>
  <si>
    <t>Are psychological consequences temporary, persistent, or both?</t>
  </si>
  <si>
    <t>No condition is persistent. All conditions, even death, can be remediated. Resurrection from death is a magical ability, but that won't come in until later - this is not a FOIMS-X feature.</t>
  </si>
  <si>
    <t>RemedyCat; FacilityCapsCat; ResourcesCat; CondRules; Locations</t>
  </si>
  <si>
    <t>Tentative answer: both.</t>
  </si>
  <si>
    <t>DEC_FIRST_PROOF_MISSION_V1</t>
  </si>
  <si>
    <t>First Proof</t>
  </si>
  <si>
    <t>What is the first integrated strategic proof mission?</t>
  </si>
  <si>
    <t>Still needed: define which persistent traits or conditions exist in Version One and which are deferred.</t>
  </si>
  <si>
    <t>Cases; Objectives; Tasks; Assignments; Evidence; Locations</t>
  </si>
  <si>
    <t>Workbook design only</t>
  </si>
  <si>
    <t>DEC_FIRST_PROOF_OBJECTIVES_V1</t>
  </si>
  <si>
    <t>What are the first proof mission’s primary and optional objectives?</t>
  </si>
  <si>
    <t>Can loyalty change?</t>
  </si>
  <si>
    <t>Yes, it can change fast or slow based on their loyalty and how often their negative conditions are remediated, how often their stress spikes, how often they are allowed to eat, etc. They can join the cult and go "off the reservation"</t>
  </si>
  <si>
    <t>Objectives; Tasks; Evidence; Cases</t>
  </si>
  <si>
    <t>Tentative answer: yes, slowly and within limits.</t>
  </si>
  <si>
    <t>DEC_FIRST_PROOF_SCOPE_V1</t>
  </si>
  <si>
    <t>Still needed: formally decide the change sources, limits, timing, and whether loyalty begins as a static character-generation value before later dynamic progression.</t>
  </si>
  <si>
    <t>What exact end-to-end systems are included and excluded from the first proof?</t>
  </si>
  <si>
    <t>WorkbookIndexCat; Cases; Objectives; Tasks; Assignments; Evidence; FXFieldsCat</t>
  </si>
  <si>
    <t>Workbook design; implementation deferred</t>
  </si>
  <si>
    <t>Which Version One traits exist beyond loyalty?</t>
  </si>
  <si>
    <t>Paranormal Sensitivity, Courage, Combat Training, Investigative Training, Agility</t>
  </si>
  <si>
    <t>Tentative answer: Discipline, Resilience, Bravery, Professionalism, and Paranormal Sensitivity.</t>
  </si>
  <si>
    <t>Still needed: decide which of those are actually Version One requirements versus later additions.</t>
  </si>
  <si>
    <t>Do traits shift thresholds or rates?</t>
  </si>
  <si>
    <t>traits should affect rates, costs, and recovery more than named-band thresholds. Need examples of ranges.</t>
  </si>
  <si>
    <t>Tentative answer: traits should affect rates, costs, and recovery more than named-band thresholds.</t>
  </si>
  <si>
    <t>Still needed: decide this formally and define modifier ranges.</t>
  </si>
  <si>
    <t>What happens at maximum workload?</t>
  </si>
  <si>
    <t>maximum workload is only sustainable for about a week before complete breakdown. temporary emergency effort that sharply raises fatigue, stress, failure risk, and injury risk.</t>
  </si>
  <si>
    <t>Tentative answer: temporary emergency effort that sharply raises fatigue, stress, failure risk, and injury risk.</t>
  </si>
  <si>
    <t>Still needed: define the actual workload cap, duration, automatic exit rule, and recovery requirement.</t>
  </si>
  <si>
    <t>Can the player override safety restrictions?</t>
  </si>
  <si>
    <t>Yes, but this will have penalties to Public Trust score and Congressional Influence score.</t>
  </si>
  <si>
    <t>Tentative answer: limited emergency overrides, but never for dead, unconscious, or incapacitated personnel.</t>
  </si>
  <si>
    <t>Still needed: identify every hard block, overrideable state, confirmation text, compliance rule, and consequence.</t>
  </si>
  <si>
    <t>Which states block assignments versus apply penalties?</t>
  </si>
  <si>
    <t>death, unconsciousness, incapacitation, and some critical injury states are hard blocks; most other states are vitals tick penalties</t>
  </si>
  <si>
    <t>Tentative answer: death, unconsciousness, incapacitation, and some critical injury states are hard blocks; most other states are penalties.</t>
  </si>
  <si>
    <t>Still needed: make the final eligibility matrix.</t>
  </si>
  <si>
    <t>Should the player see numbers, bands, or both?</t>
  </si>
  <si>
    <t>both</t>
  </si>
  <si>
    <t>Tentative answer: bands by default, exact values in personnel detail.</t>
  </si>
  <si>
    <t>Still needed: decide this for each individual stat and for later FOIMS-X screen contracts. The current native Personnel Snapshot only exposes status, skill, workload, and assignment data; health, stress, fatigue, and other condition fields are not yet exposed.</t>
  </si>
  <si>
    <t>What is the first integrated proof mission?</t>
  </si>
  <si>
    <t>Tentative answer: a compact investigation with two objectives, one evidence item, few tasks, time pressure, and a possible injury or stress result.</t>
  </si>
  <si>
    <t>Still needed: choose its final case name, location, personnel, objective wording, task sequence, and exact pass criteria.</t>
  </si>
  <si>
    <t>What are the primary and optional objectives?</t>
  </si>
  <si>
    <t>Tentative answer: primary objective is evidence verification or recovery; the optional objective is an interview, rescue, secondary evidence item, or identification task.</t>
  </si>
  <si>
    <t>Still needed: select one concrete pairing.</t>
  </si>
  <si>
    <t>Still fully open</t>
  </si>
  <si>
    <t>Exact condition bands and percentages</t>
  </si>
  <si>
    <t>Not sure what you mean.</t>
  </si>
  <si>
    <t>Every threshold needs final or explicitly provisional values.</t>
  </si>
  <si>
    <t>Whether one hundred fatigue is collapse, unconsciousness, forced off-duty status, or a combination</t>
  </si>
  <si>
    <t>90-100% is a combination of collapse, unconsciousness, and forced-off-duty</t>
  </si>
  <si>
    <t>You have a recommendation, not a confirmed choice.</t>
  </si>
  <si>
    <t>Whether agents automatically handle ordinary eating and resting off duty</t>
  </si>
  <si>
    <t>No, off-duty time must be scheduled. The player can schedule in real time, but the agent may or may not be able to immediately react to that schedule change if they are busy</t>
  </si>
  <si>
    <t>This directly affects strategic task generation and resource simulation.</t>
  </si>
  <si>
    <t>Whether sleep is a distinct action from resting</t>
  </si>
  <si>
    <t>No, sleep and resting are synonomous.</t>
  </si>
  <si>
    <t>The current recommendation distinguishes them, but you have not confirmed that distinction.</t>
  </si>
  <si>
    <t>Whether nutrition is a Version One system or deferred until after the first proof</t>
  </si>
  <si>
    <t>Nutrition is hidden from the player, but calculated in the background. The Agent can flag the player if they are hungry and haven't been able to go off-duty to eat or sleep.</t>
  </si>
  <si>
    <t>The current recommendation defers it, but the project plan needs a final scope decision.</t>
  </si>
  <si>
    <t>Whether stress can ever directly create hard task blocks without a named acute incident</t>
  </si>
  <si>
    <t>Only at maximum stress 90 or higher can they be forced off-duty (with high risk of joining the cult)</t>
  </si>
  <si>
    <t>For example, does “Overwhelmed” merely penalize performance, while “Panicked” blocks deployment?</t>
  </si>
  <si>
    <t>Whether health and injury can create permanent impairment</t>
  </si>
  <si>
    <t>no conditions are permanent in the game. anything can be fixed, cured, remediated, etc.</t>
  </si>
  <si>
    <t>This is important for gritty realism, but it should likely remain deferred until ordinary healing and recovery are proven.</t>
  </si>
  <si>
    <t>Whether death is reversible, recoverable, or strictly permanent</t>
  </si>
  <si>
    <t>Death is reversible, but not until the player uses magic at DoDA (not through FOIMS-X, full implementation TBD)</t>
  </si>
  <si>
    <t>Recommendation: dead should be permanent unless the setting deliberately includes a rare, explicit supernatural exception.</t>
  </si>
  <si>
    <t>Whether personality traits are authored, randomized, inherited from a background, or earned through play</t>
  </si>
  <si>
    <t>Personality traits are randomized. The idea is the player will end up with lots of agents by the end of the game.</t>
  </si>
  <si>
    <t>The trait list exists, but the character-generation source remains open.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</si>
</sst>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color rgb="FF434343"/>
      <name val="Roboto"/>
    </font>
    <font>
      <b/>
      <sz val="36.0"/>
      <color theme="1"/>
      <name val="Arial"/>
      <scheme val="minor"/>
    </font>
    <font>
      <i/>
      <color theme="1"/>
      <name val="Arial"/>
      <scheme val="minor"/>
    </font>
    <font>
      <b/>
      <color theme="1"/>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284E3F"/>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 xfId="0" applyAlignment="1" applyFont="1" applyNumberFormat="1">
      <alignment shrinkToFit="0" vertical="center" wrapText="0"/>
    </xf>
    <xf borderId="0" fillId="0" fontId="2" numFmtId="0" xfId="0" applyAlignment="1" applyFont="1">
      <alignment shrinkToFit="0" vertical="center" wrapText="0"/>
    </xf>
    <xf borderId="1" fillId="2" fontId="3" numFmtId="0" xfId="0" applyAlignment="1" applyBorder="1" applyFill="1" applyFont="1">
      <alignment horizontal="right" shrinkToFit="0" vertical="center" wrapText="0"/>
    </xf>
    <xf borderId="0" fillId="0" fontId="2" numFmtId="0" xfId="0" applyAlignment="1" applyFont="1">
      <alignment shrinkToFit="0" vertical="center" wrapText="0"/>
    </xf>
    <xf borderId="2" fillId="3" fontId="3" numFmtId="0" xfId="0" applyAlignment="1" applyBorder="1" applyFill="1" applyFont="1">
      <alignment horizontal="right" shrinkToFit="0" vertical="center" wrapText="0"/>
    </xf>
    <xf borderId="0" fillId="0" fontId="2" numFmtId="0" xfId="0" applyAlignment="1" applyFont="1">
      <alignment readingOrder="0" shrinkToFit="0" vertical="center" wrapText="0"/>
    </xf>
    <xf borderId="3" fillId="3" fontId="3" numFmtId="0" xfId="0" applyAlignment="1" applyBorder="1" applyFill="1" applyFont="1">
      <alignment horizontal="right" shrinkToFit="0" vertical="center" wrapText="0"/>
    </xf>
    <xf borderId="0" fillId="0" fontId="2" numFmtId="0" xfId="0" applyFont="1"/>
    <xf borderId="0" fillId="0" fontId="4"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2" numFmtId="0" xfId="0" applyAlignment="1" applyFont="1">
      <alignment vertical="center"/>
    </xf>
    <xf borderId="0" fillId="0" fontId="1" numFmtId="0" xfId="0" applyAlignment="1" applyFont="1">
      <alignment readingOrder="0" shrinkToFit="0" vertical="center" wrapText="1"/>
    </xf>
    <xf borderId="0" fillId="0" fontId="2" numFmtId="0" xfId="0" applyAlignment="1" applyFont="1">
      <alignment horizontal="center" vertical="center"/>
    </xf>
    <xf borderId="0" fillId="0" fontId="2" numFmtId="0" xfId="0" applyAlignment="1" applyFont="1">
      <alignment readingOrder="0" shrinkToFit="0" vertical="center" wrapText="1"/>
    </xf>
    <xf borderId="0" fillId="0" fontId="2" numFmtId="0" xfId="0" applyFont="1"/>
    <xf borderId="0" fillId="0" fontId="5" numFmtId="0" xfId="0" applyAlignment="1" applyFont="1">
      <alignment readingOrder="0" shrinkToFit="0" vertical="center" wrapText="1"/>
    </xf>
    <xf borderId="0" fillId="0" fontId="2" numFmtId="0" xfId="0" applyAlignment="1" applyFont="1">
      <alignment shrinkToFit="0" vertical="center" wrapText="1"/>
    </xf>
    <xf borderId="0" fillId="0" fontId="6"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4" numFmtId="0" xfId="0" applyAlignment="1" applyFont="1">
      <alignment horizontal="center" shrinkToFit="0" vertical="center" wrapText="1"/>
    </xf>
    <xf borderId="4" fillId="0" fontId="7" numFmtId="0" xfId="0" applyAlignment="1" applyBorder="1" applyFont="1">
      <alignment horizontal="left" readingOrder="0" shrinkToFit="0" vertical="center" wrapText="0"/>
    </xf>
    <xf borderId="0" fillId="0" fontId="5"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3">
    <tableStyle count="4" pivot="0" name="band_id-style">
      <tableStyleElement dxfId="1" type="headerRow"/>
      <tableStyleElement dxfId="2" type="firstRowStripe"/>
      <tableStyleElement dxfId="3" type="secondRowStripe"/>
      <tableStyleElement dxfId="4" size="0" type="wholeTable"/>
    </tableStyle>
    <tableStyle count="4" pivot="0" name="stat_id-style">
      <tableStyleElement dxfId="1" type="headerRow"/>
      <tableStyleElement dxfId="2" type="firstRowStripe"/>
      <tableStyleElement dxfId="3" type="secondRowStripe"/>
      <tableStyleElement dxfId="4" size="0" type="wholeTable"/>
    </tableStyle>
    <tableStyle count="4" pivot="0" name="trait_id-style">
      <tableStyleElement dxfId="1" type="headerRow"/>
      <tableStyleElement dxfId="2" type="firstRowStripe"/>
      <tableStyleElement dxfId="3" type="secondRowStripe"/>
      <tableStyleElement dxfId="4" size="0" type="wholeTable"/>
    </tableStyle>
    <tableStyle count="4" pivot="0" name="person_id-style">
      <tableStyleElement dxfId="1" type="headerRow"/>
      <tableStyleElement dxfId="2" type="firstRowStripe"/>
      <tableStyleElement dxfId="3" type="secondRowStripe"/>
      <tableStyleElement dxfId="4" size="0" type="wholeTable"/>
    </tableStyle>
    <tableStyle count="4" pivot="0" name="task_type_id-style">
      <tableStyleElement dxfId="1" type="headerRow"/>
      <tableStyleElement dxfId="2" type="firstRowStripe"/>
      <tableStyleElement dxfId="3" type="secondRowStripe"/>
      <tableStyleElement dxfId="4" size="0" type="wholeTable"/>
    </tableStyle>
    <tableStyle count="4" pivot="0" name="location_id-style">
      <tableStyleElement dxfId="1" type="headerRow"/>
      <tableStyleElement dxfId="2" type="firstRowStripe"/>
      <tableStyleElement dxfId="3" type="secondRowStripe"/>
      <tableStyleElement dxfId="4" size="0" type="wholeTable"/>
    </tableStyle>
    <tableStyle count="4" pivot="0" name="case_id-style">
      <tableStyleElement dxfId="1" type="headerRow"/>
      <tableStyleElement dxfId="2" type="firstRowStripe"/>
      <tableStyleElement dxfId="3" type="secondRowStripe"/>
      <tableStyleElement dxfId="4" size="0" type="wholeTable"/>
    </tableStyle>
    <tableStyle count="4" pivot="0" name="objective_id-style">
      <tableStyleElement dxfId="1" type="headerRow"/>
      <tableStyleElement dxfId="2" type="firstRowStripe"/>
      <tableStyleElement dxfId="3" type="secondRowStripe"/>
      <tableStyleElement dxfId="4" size="0" type="wholeTable"/>
    </tableStyle>
    <tableStyle count="4" pivot="0" name="task_id-style">
      <tableStyleElement dxfId="1" type="headerRow"/>
      <tableStyleElement dxfId="2" type="firstRowStripe"/>
      <tableStyleElement dxfId="3" type="secondRowStripe"/>
      <tableStyleElement dxfId="4" size="0" type="wholeTable"/>
    </tableStyle>
    <tableStyle count="4" pivot="0" name="assignment_id-style">
      <tableStyleElement dxfId="1" type="headerRow"/>
      <tableStyleElement dxfId="2" type="firstRowStripe"/>
      <tableStyleElement dxfId="3" type="secondRowStripe"/>
      <tableStyleElement dxfId="4" size="0" type="wholeTable"/>
    </tableStyle>
    <tableStyle count="4" pivot="0" name="evidence_id-style">
      <tableStyleElement dxfId="1" type="headerRow"/>
      <tableStyleElement dxfId="2" type="firstRowStripe"/>
      <tableStyleElement dxfId="3" type="secondRowStripe"/>
      <tableStyleElement dxfId="4" size="0" type="wholeTable"/>
    </tableStyle>
    <tableStyle count="4" pivot="0" name="decision_id-style">
      <tableStyleElement dxfId="1" type="headerRow"/>
      <tableStyleElement dxfId="2" type="firstRowStripe"/>
      <tableStyleElement dxfId="3" type="secondRowStripe"/>
      <tableStyleElement dxfId="4" size="0" type="wholeTable"/>
    </tableStyle>
    <tableStyle count="4" pivot="0" name="decision_id-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9" displayName="Table1" name="Table1" id="2">
  <tableColumns count="13">
    <tableColumn name="stat_id" id="1"/>
    <tableColumn name="display_name" id="2"/>
    <tableColumn name="internal_name" id="3"/>
    <tableColumn name="minimum_value" id="4"/>
    <tableColumn name="maximum_value" id="5"/>
    <tableColumn name="default_value" id="6"/>
    <tableColumn name="direction" id="7"/>
    <tableColumn name="high_value_meaning" id="8"/>
    <tableColumn name="low_value_meaning" id="9"/>
    <tableColumn name="persistent" id="10"/>
    <tableColumn name="player_visible" id="11"/>
    <tableColumn name="v1_status" id="12"/>
    <tableColumn name="notes" id="13"/>
  </tableColumns>
  <tableStyleInfo name="stat_id-style" showColumnStripes="0" showFirstColumn="1" showLastColumn="1" showRowStripes="1"/>
</table>
</file>

<file path=xl/tables/table2.xml><?xml version="1.0" encoding="utf-8"?>
<table xmlns="http://schemas.openxmlformats.org/spreadsheetml/2006/main" ref="A1:K37" displayName="Table2" name="Table2" id="4">
  <tableColumns count="11">
    <tableColumn name="band_id" id="1"/>
    <tableColumn name="stat_id" id="2"/>
    <tableColumn name="minimum_value" id="3"/>
    <tableColumn name="maximum_value" id="4"/>
    <tableColumn name="display_name" id="5"/>
    <tableColumn name="severity" id="6"/>
    <tableColumn name="action_word" id="7"/>
    <tableColumn name="assignment_effect" id="8"/>
    <tableColumn name="foims_warning" id="9"/>
    <tableColumn name="final_status" id="10"/>
    <tableColumn name="notes" id="11"/>
  </tableColumns>
  <tableStyleInfo name="band_id-style" showColumnStripes="0" showFirstColumn="1" showLastColumn="1" showRowStripes="1"/>
</table>
</file>

<file path=xl/tables/table3.xml><?xml version="1.0" encoding="utf-8"?>
<table xmlns="http://schemas.openxmlformats.org/spreadsheetml/2006/main" ref="A1:M11" displayName="Table3" name="Table3" id="1">
  <tableColumns count="13">
    <tableColumn name="person_id" id="1"/>
    <tableColumn name="baseHP" id="2"/>
    <tableColumn name="health_lvl" id="3"/>
    <tableColumn name="currentHP" id="4"/>
    <tableColumn name="injury" id="5"/>
    <tableColumn name="fatigue" id="6"/>
    <tableColumn name="nutrition" id="7"/>
    <tableColumn name="stress" id="8"/>
    <tableColumn name="workload" id="9"/>
    <tableColumn name="incapacitated_flag" id="10"/>
    <tableColumn name="current_moodlet_id" id="11"/>
    <tableColumn name="last_updated_strategic_minute" id="12"/>
    <tableColumn name="notes" id="13"/>
  </tableColumns>
  <tableStyleInfo name="person_id-style" showColumnStripes="0" showFirstColumn="1" showLastColumn="1" showRowStripes="1"/>
</table>
</file>

<file path=xl/tables/table4.xml><?xml version="1.0" encoding="utf-8"?>
<table xmlns="http://schemas.openxmlformats.org/spreadsheetml/2006/main" ref="A1:I7" displayName="Table4" name="Table4" id="3">
  <tableColumns count="9">
    <tableColumn name="trait_id" id="1"/>
    <tableColumn name="display_name" id="2"/>
    <tableColumn name="minimum_value" id="3"/>
    <tableColumn name="maximum_value" id="4"/>
    <tableColumn name="default_value" id="5"/>
    <tableColumn name="changes_over_time" id="6"/>
    <tableColumn name="affected_systems" id="7"/>
    <tableColumn name="description" id="8"/>
    <tableColumn name="v1_status" id="9"/>
  </tableColumns>
  <tableStyleInfo name="trait_id-style" showColumnStripes="0" showFirstColumn="1" showLastColumn="1" showRowStripes="1"/>
</table>
</file>

<file path=xl/tables/table5.xml><?xml version="1.0" encoding="utf-8"?>
<table xmlns="http://schemas.openxmlformats.org/spreadsheetml/2006/main" ref="A1:L9" displayName="Table5" name="Table5" id="5">
  <tableColumns count="12">
    <tableColumn name="task_type_id" id="1"/>
    <tableColumn name="display_name" id="2"/>
    <tableColumn name="task_category" id="3"/>
    <tableColumn name="base_duration_minutes" id="4"/>
    <tableColumn name="base_workload" id="5"/>
    <tableColumn name="required_skill" id="6"/>
    <tableColumn name="allowed_location_type" id="7"/>
    <tableColumn name="condition_cost_profile" id="8"/>
    <tableColumn name="primary_output" id="9"/>
    <tableColumn name="assignment_limit" id="10"/>
    <tableColumn name="v1_status" id="11"/>
    <tableColumn name="notes" id="12"/>
  </tableColumns>
  <tableStyleInfo name="task_type_id-style" showColumnStripes="0" showFirstColumn="1" showLastColumn="1" showRowStripes="1"/>
</table>
</file>

<file path=xl/tables/table6.xml><?xml version="1.0" encoding="utf-8"?>
<table xmlns="http://schemas.openxmlformats.org/spreadsheetml/2006/main" ref="A1:K4" displayName="Table6" name="Table6" id="6">
  <tableColumns count="11">
    <tableColumn name="location_id" id="1"/>
    <tableColumn name="display_name" id="2"/>
    <tableColumn name="location_type" id="3"/>
    <tableColumn name="parent_region" id="4"/>
    <tableColumn name="safety_level" id="5"/>
    <tableColumn name="medical_capability" id="6"/>
    <tableColumn name="food_capability" id="7"/>
    <tableColumn name="rest_capability" id="8"/>
    <tableColumn name="therapy_capability" id="9"/>
    <tableColumn name="active_flag" id="10"/>
    <tableColumn name="notes" id="11"/>
  </tableColumns>
  <tableStyleInfo name="location_id-style" showColumnStripes="0" showFirstColumn="1" showLastColumn="1" showRowStripes="1"/>
</table>
</file>

<file path=xl/tables/table7.xml><?xml version="1.0" encoding="utf-8"?>
<table xmlns="http://schemas.openxmlformats.org/spreadsheetml/2006/main" ref="A1:J2" displayName="Table7" name="Table7" id="7">
  <tableColumns count="10">
    <tableColumn name="case_id" id="1"/>
    <tableColumn name="display_name" id="2"/>
    <tableColumn name="case_track" id="3"/>
    <tableColumn name="priority" id="4"/>
    <tableColumn name="status" id="5"/>
    <tableColumn name="created_strategic_minute" id="6"/>
    <tableColumn name="deadline_strategic_minute" id="7"/>
    <tableColumn name="escalation" id="8"/>
    <tableColumn name="current_owner_person_id" id="9"/>
    <tableColumn name="summary" id="10"/>
  </tableColumns>
  <tableStyleInfo name="case_id-style" showColumnStripes="0" showFirstColumn="1" showLastColumn="1" showRowStripes="1"/>
</table>
</file>

<file path=xl/tables/table8.xml><?xml version="1.0" encoding="utf-8"?>
<table xmlns="http://schemas.openxmlformats.org/spreadsheetml/2006/main" ref="A1:L3" displayName="Table8" name="Table8" id="8">
  <tableColumns count="12">
    <tableColumn name="objective_id" id="1"/>
    <tableColumn name="case_id" id="2"/>
    <tableColumn name="display_name" id="3"/>
    <tableColumn name="objective_type" id="4"/>
    <tableColumn name="required_progress" id="5"/>
    <tableColumn name="current_progress" id="6"/>
    <tableColumn name="required_flag" id="7"/>
    <tableColumn name="status" id="8"/>
    <tableColumn name="deadline_strategic_minute" id="9"/>
    <tableColumn name="success_result" id="10"/>
    <tableColumn name="failure_result" id="11"/>
    <tableColumn name="notes" id="12"/>
  </tableColumns>
  <tableStyleInfo name="objective_id-style" showColumnStripes="0" showFirstColumn="1" showLastColumn="1" showRowStripes="1"/>
</table>
</file>

<file path=xl/tables/table9.xml><?xml version="1.0" encoding="utf-8"?>
<table xmlns="http://schemas.openxmlformats.org/spreadsheetml/2006/main" ref="A1:O3" displayName="Table9" name="Table9" id="9">
  <tableColumns count="15">
    <tableColumn name="task_id" id="1"/>
    <tableColumn name="task_type_id" id="2"/>
    <tableColumn name="case_id" id="3"/>
    <tableColumn name="objective_id" id="4"/>
    <tableColumn name="location_id" id="5"/>
    <tableColumn name="display_name" id="6"/>
    <tableColumn name="state" id="7"/>
    <tableColumn name="priority" id="8"/>
    <tableColumn name="created_strategic_minute" id="9"/>
    <tableColumn name="deadline_strategic_minute" id="10"/>
    <tableColumn name="required_work" id="11"/>
    <tableColumn name="current_progress" id="12"/>
    <tableColumn name="assigned_person_count" id="13"/>
    <tableColumn name="output_id" id="14"/>
    <tableColumn name="notes" id="15"/>
  </tableColumns>
  <tableStyleInfo name="task_id-style" showColumnStripes="0" showFirstColumn="1" showLastColumn="1" showRowStripes="1"/>
</table>
</file>

<file path=xl/tables/table10.xml><?xml version="1.0" encoding="utf-8"?>
<table xmlns="http://schemas.openxmlformats.org/spreadsheetml/2006/main" ref="A1:K3" displayName="Table10" name="Table10" id="10">
  <tableColumns count="11">
    <tableColumn name="assignment_id" id="1"/>
    <tableColumn name="person_id" id="2"/>
    <tableColumn name="task_id" id="3"/>
    <tableColumn name="assignment_state" id="4"/>
    <tableColumn name="assignment_role" id="5"/>
    <tableColumn name="assigned_strategic_minute" id="6"/>
    <tableColumn name="start_strategic_minute" id="7"/>
    <tableColumn name="end_strategic_minute" id="8"/>
    <tableColumn name="workload_contribution" id="9"/>
    <tableColumn name="release_reason" id="10"/>
    <tableColumn name="notes" id="11"/>
  </tableColumns>
  <tableStyleInfo name="assignment_id-style" showColumnStripes="0" showFirstColumn="1" showLastColumn="1" showRowStripes="1"/>
</table>
</file>

<file path=xl/tables/table11.xml><?xml version="1.0" encoding="utf-8"?>
<table xmlns="http://schemas.openxmlformats.org/spreadsheetml/2006/main" ref="A1:K2" displayName="Table11" name="Table11" id="11">
  <tableColumns count="11">
    <tableColumn name="evidence_id" id="1"/>
    <tableColumn name="display_name" id="2"/>
    <tableColumn name="evidence_type" id="3"/>
    <tableColumn name="source_case_id" id="4"/>
    <tableColumn name="source_task_id" id="5"/>
    <tableColumn name="source_location_id" id="6"/>
    <tableColumn name="custody_state" id="7"/>
    <tableColumn name="quality" id="8"/>
    <tableColumn name="analysis_state" id="9"/>
    <tableColumn name="case_track_effect" id="10"/>
    <tableColumn name="notes" id="11"/>
  </tableColumns>
  <tableStyleInfo name="evidence_id-style" showColumnStripes="0" showFirstColumn="1" showLastColumn="1" showRowStripes="1"/>
</table>
</file>

<file path=xl/tables/table12.xml><?xml version="1.0" encoding="utf-8"?>
<table xmlns="http://schemas.openxmlformats.org/spreadsheetml/2006/main" ref="A1:K7" displayName="Table12" name="Table12" id="12">
  <tableColumns count="11">
    <tableColumn name="decision_id" id="1"/>
    <tableColumn name="topic" id="2"/>
    <tableColumn name="question" id="3"/>
    <tableColumn name="options" id="4"/>
    <tableColumn name="selected_answer" id="5"/>
    <tableColumn name="status" id="6"/>
    <tableColumn name="owner" id="7"/>
    <tableColumn name="decision_date" id="8"/>
    <tableColumn name="affected_sheets" id="9"/>
    <tableColumn name="reconsideration_trigger" id="10"/>
    <tableColumn name="notes" id="11"/>
  </tableColumns>
  <tableStyleInfo name="decision_id-style" showColumnStripes="0" showFirstColumn="1" showLastColumn="1" showRowStripes="1"/>
</table>
</file>

<file path=xl/tables/table13.xml><?xml version="1.0" encoding="utf-8"?>
<table xmlns="http://schemas.openxmlformats.org/spreadsheetml/2006/main" ref="A9:Z24" displayName="Table13" name="Table13" id="13">
  <tableColumns count="26">
    <tableColumn name="decision_id" id="1"/>
    <tableColumn name="topic" id="2"/>
    <tableColumn name="question" id="3"/>
    <tableColumn name="selected_answer" id="4"/>
    <tableColumn name="status" id="5"/>
    <tableColumn name="owner" id="6"/>
    <tableColumn name="affected_sheets" id="7"/>
    <tableColumn name="implementation_scope" id="8"/>
    <tableColumn name="Column 1" id="9"/>
    <tableColumn name="Column 2" id="10"/>
    <tableColumn name="Column 3" id="11"/>
    <tableColumn name="Column 4" id="12"/>
    <tableColumn name="Column 5" id="13"/>
    <tableColumn name="Column 6" id="14"/>
    <tableColumn name="Column 7" id="15"/>
    <tableColumn name="Column 8" id="16"/>
    <tableColumn name="Column 9" id="17"/>
    <tableColumn name="Column 10" id="18"/>
    <tableColumn name="Column 11" id="19"/>
    <tableColumn name="Column 12" id="20"/>
    <tableColumn name="Column 13" id="21"/>
    <tableColumn name="Column 14" id="22"/>
    <tableColumn name="Column 15" id="23"/>
    <tableColumn name="Column 16" id="24"/>
    <tableColumn name="Column 17" id="25"/>
    <tableColumn name="Column 18" id="26"/>
  </tableColumns>
  <tableStyleInfo name="decision_id-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12.xml"/><Relationship Id="rId5"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 customWidth="1" min="3" max="3" width="16.0"/>
    <col customWidth="1" min="4" max="4" width="20.5"/>
    <col customWidth="1" min="5" max="5" width="20.88"/>
    <col customWidth="1" min="6" max="6" width="18.63"/>
    <col customWidth="1" min="7" max="7" width="15.25"/>
    <col customWidth="1" min="8" max="8" width="28.0"/>
    <col customWidth="1" min="9" max="9" width="29.38"/>
    <col customWidth="1" min="10" max="10" width="16.13"/>
    <col customWidth="1" min="11" max="11" width="18.63"/>
    <col customWidth="1" min="13" max="13" width="37.63"/>
  </cols>
  <sheetData>
    <row r="1" ht="24.0" customHeight="1">
      <c r="A1" s="1" t="s">
        <v>0</v>
      </c>
      <c r="B1" s="2" t="s">
        <v>4</v>
      </c>
      <c r="C1" s="2" t="s">
        <v>5</v>
      </c>
      <c r="D1" s="2" t="s">
        <v>7</v>
      </c>
      <c r="E1" s="2" t="s">
        <v>9</v>
      </c>
      <c r="F1" s="2" t="s">
        <v>10</v>
      </c>
      <c r="G1" s="2" t="s">
        <v>11</v>
      </c>
      <c r="H1" s="2" t="s">
        <v>14</v>
      </c>
      <c r="I1" s="2" t="s">
        <v>16</v>
      </c>
      <c r="J1" s="2" t="s">
        <v>19</v>
      </c>
      <c r="K1" s="2" t="s">
        <v>22</v>
      </c>
      <c r="L1" s="2" t="s">
        <v>21</v>
      </c>
      <c r="M1" s="2" t="s">
        <v>24</v>
      </c>
    </row>
    <row r="2" ht="22.5" customHeight="1">
      <c r="A2" s="4" t="s">
        <v>29</v>
      </c>
      <c r="B2" s="4" t="s">
        <v>36</v>
      </c>
      <c r="C2" s="4" t="s">
        <v>38</v>
      </c>
      <c r="D2" s="5">
        <v>0.0</v>
      </c>
      <c r="E2" s="5">
        <v>100.0</v>
      </c>
      <c r="F2" s="5">
        <v>100.0</v>
      </c>
      <c r="G2" s="6" t="s">
        <v>42</v>
      </c>
      <c r="H2" s="4" t="s">
        <v>44</v>
      </c>
      <c r="I2" s="4" t="s">
        <v>46</v>
      </c>
      <c r="J2" s="6" t="b">
        <v>1</v>
      </c>
      <c r="K2" s="6" t="b">
        <v>1</v>
      </c>
      <c r="L2" s="4" t="s">
        <v>49</v>
      </c>
      <c r="M2" s="4" t="s">
        <v>51</v>
      </c>
    </row>
    <row r="3" ht="22.5" customHeight="1">
      <c r="A3" s="4" t="s">
        <v>58</v>
      </c>
      <c r="B3" s="4" t="s">
        <v>60</v>
      </c>
      <c r="C3" s="4" t="s">
        <v>17</v>
      </c>
      <c r="D3" s="5">
        <v>0.0</v>
      </c>
      <c r="E3" s="5">
        <v>100.0</v>
      </c>
      <c r="F3" s="5">
        <v>0.0</v>
      </c>
      <c r="G3" s="6" t="s">
        <v>63</v>
      </c>
      <c r="H3" s="4" t="s">
        <v>64</v>
      </c>
      <c r="I3" s="4" t="s">
        <v>65</v>
      </c>
      <c r="J3" s="6" t="b">
        <v>1</v>
      </c>
      <c r="K3" s="6" t="b">
        <v>1</v>
      </c>
      <c r="L3" s="4" t="s">
        <v>49</v>
      </c>
      <c r="M3" s="4" t="s">
        <v>69</v>
      </c>
    </row>
    <row r="4" ht="22.5" customHeight="1">
      <c r="A4" s="4" t="s">
        <v>43</v>
      </c>
      <c r="B4" s="4" t="s">
        <v>74</v>
      </c>
      <c r="C4" s="4" t="s">
        <v>20</v>
      </c>
      <c r="D4" s="5">
        <v>0.0</v>
      </c>
      <c r="E4" s="5">
        <v>100.0</v>
      </c>
      <c r="F4" s="5">
        <v>0.0</v>
      </c>
      <c r="G4" s="6" t="s">
        <v>63</v>
      </c>
      <c r="H4" s="4" t="s">
        <v>82</v>
      </c>
      <c r="I4" s="4" t="s">
        <v>83</v>
      </c>
      <c r="J4" s="6" t="b">
        <v>1</v>
      </c>
      <c r="K4" s="6" t="b">
        <v>1</v>
      </c>
      <c r="L4" s="4" t="s">
        <v>49</v>
      </c>
      <c r="M4" s="4" t="s">
        <v>86</v>
      </c>
    </row>
    <row r="5" ht="22.5" customHeight="1">
      <c r="A5" s="4" t="s">
        <v>87</v>
      </c>
      <c r="B5" s="4" t="s">
        <v>88</v>
      </c>
      <c r="C5" s="4" t="s">
        <v>23</v>
      </c>
      <c r="D5" s="5">
        <v>0.0</v>
      </c>
      <c r="E5" s="5">
        <v>100.0</v>
      </c>
      <c r="F5" s="5">
        <v>100.0</v>
      </c>
      <c r="G5" s="6" t="s">
        <v>42</v>
      </c>
      <c r="H5" s="4" t="s">
        <v>92</v>
      </c>
      <c r="I5" s="4" t="s">
        <v>94</v>
      </c>
      <c r="J5" s="6" t="b">
        <v>1</v>
      </c>
      <c r="K5" s="6" t="b">
        <v>0</v>
      </c>
      <c r="L5" s="4" t="s">
        <v>49</v>
      </c>
      <c r="M5" s="4" t="s">
        <v>98</v>
      </c>
    </row>
    <row r="6" ht="22.5" customHeight="1">
      <c r="A6" s="4" t="s">
        <v>102</v>
      </c>
      <c r="B6" s="4" t="s">
        <v>104</v>
      </c>
      <c r="C6" s="4" t="s">
        <v>26</v>
      </c>
      <c r="D6" s="5">
        <v>0.0</v>
      </c>
      <c r="E6" s="5">
        <v>100.0</v>
      </c>
      <c r="F6" s="5">
        <v>0.0</v>
      </c>
      <c r="G6" s="6" t="s">
        <v>63</v>
      </c>
      <c r="H6" s="4" t="s">
        <v>106</v>
      </c>
      <c r="I6" s="4" t="s">
        <v>107</v>
      </c>
      <c r="J6" s="6" t="b">
        <v>1</v>
      </c>
      <c r="K6" s="6" t="b">
        <v>1</v>
      </c>
      <c r="L6" s="4" t="s">
        <v>49</v>
      </c>
      <c r="M6" s="4" t="s">
        <v>109</v>
      </c>
    </row>
    <row r="7" ht="22.5" customHeight="1">
      <c r="A7" s="4" t="s">
        <v>110</v>
      </c>
      <c r="B7" s="4" t="s">
        <v>112</v>
      </c>
      <c r="C7" s="4" t="s">
        <v>28</v>
      </c>
      <c r="D7" s="5">
        <v>0.0</v>
      </c>
      <c r="E7" s="5">
        <v>100.0</v>
      </c>
      <c r="F7" s="5">
        <v>0.0</v>
      </c>
      <c r="G7" s="6" t="s">
        <v>63</v>
      </c>
      <c r="H7" s="4" t="s">
        <v>115</v>
      </c>
      <c r="I7" s="4" t="s">
        <v>117</v>
      </c>
      <c r="J7" s="6" t="b">
        <v>1</v>
      </c>
      <c r="K7" s="6" t="b">
        <v>1</v>
      </c>
      <c r="L7" s="4" t="s">
        <v>119</v>
      </c>
      <c r="M7" s="4" t="s">
        <v>120</v>
      </c>
    </row>
    <row r="8" ht="22.5" customHeight="1">
      <c r="A8" s="4" t="s">
        <v>27</v>
      </c>
      <c r="B8" s="4" t="s">
        <v>37</v>
      </c>
      <c r="C8" s="4" t="s">
        <v>122</v>
      </c>
      <c r="D8" s="5">
        <v>0.0</v>
      </c>
      <c r="E8" s="5">
        <v>100.0</v>
      </c>
      <c r="F8" s="5">
        <v>50.0</v>
      </c>
      <c r="G8" s="6" t="s">
        <v>42</v>
      </c>
      <c r="H8" s="4" t="s">
        <v>126</v>
      </c>
      <c r="I8" s="4" t="s">
        <v>127</v>
      </c>
      <c r="J8" s="6" t="b">
        <v>1</v>
      </c>
      <c r="K8" s="6" t="b">
        <v>1</v>
      </c>
      <c r="L8" s="4" t="s">
        <v>48</v>
      </c>
      <c r="M8" s="4" t="s">
        <v>129</v>
      </c>
    </row>
    <row r="9" ht="22.5" customHeight="1">
      <c r="A9" s="4" t="s">
        <v>131</v>
      </c>
      <c r="B9" s="4" t="s">
        <v>132</v>
      </c>
      <c r="C9" s="4" t="s">
        <v>133</v>
      </c>
      <c r="D9" s="5">
        <v>0.0</v>
      </c>
      <c r="E9" s="5">
        <v>10.0</v>
      </c>
      <c r="F9" s="5">
        <v>5.0</v>
      </c>
      <c r="G9" s="6" t="s">
        <v>42</v>
      </c>
      <c r="H9" s="4" t="s">
        <v>136</v>
      </c>
      <c r="I9" s="4" t="s">
        <v>137</v>
      </c>
      <c r="J9" s="6" t="b">
        <v>1</v>
      </c>
      <c r="K9" s="6" t="b">
        <v>1</v>
      </c>
      <c r="L9" s="4" t="s">
        <v>119</v>
      </c>
      <c r="M9" s="4" t="s">
        <v>139</v>
      </c>
    </row>
  </sheetData>
  <dataValidations>
    <dataValidation type="custom" allowBlank="1" showDropDown="1" sqref="D2:F9">
      <formula1>AND(ISNUMBER(D2),(NOT(OR(NOT(ISERROR(DATEVALUE(D2))), AND(ISNUMBER(D2), LEFT(CELL("format", D2))="D")))))</formula1>
    </dataValidation>
    <dataValidation type="list" allowBlank="1" sqref="J2:K9">
      <formula1>"TRUE,FALSE"</formula1>
    </dataValidation>
    <dataValidation type="list" allowBlank="1" showDropDown="1" showErrorMessage="1" sqref="G2:G9">
      <formula1>"positive,negative"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75"/>
    <col customWidth="1" min="2" max="2" width="15.0"/>
    <col customWidth="1" min="3" max="3" width="20.5"/>
    <col customWidth="1" min="4" max="4" width="20.88"/>
    <col customWidth="1" min="5" max="5" width="19.25"/>
    <col customWidth="1" min="6" max="6" width="19.75"/>
    <col customWidth="1" min="7" max="8" width="20.38"/>
    <col customWidth="1" min="9" max="9" width="27.0"/>
    <col customWidth="1" min="10" max="10" width="17.25"/>
    <col customWidth="1" min="11" max="11" width="34.0"/>
  </cols>
  <sheetData>
    <row r="1" ht="22.5" customHeight="1">
      <c r="A1" s="2" t="s">
        <v>1</v>
      </c>
      <c r="B1" s="2" t="s">
        <v>0</v>
      </c>
      <c r="C1" s="2" t="s">
        <v>7</v>
      </c>
      <c r="D1" s="2" t="s">
        <v>9</v>
      </c>
      <c r="E1" s="2" t="s">
        <v>4</v>
      </c>
      <c r="F1" s="2" t="s">
        <v>25</v>
      </c>
      <c r="G1" s="2" t="s">
        <v>30</v>
      </c>
      <c r="H1" s="2" t="s">
        <v>32</v>
      </c>
      <c r="I1" s="2" t="s">
        <v>34</v>
      </c>
      <c r="J1" s="2" t="s">
        <v>39</v>
      </c>
      <c r="K1" s="2" t="s">
        <v>24</v>
      </c>
    </row>
    <row r="2" ht="22.5" customHeight="1">
      <c r="A2" s="4" t="s">
        <v>41</v>
      </c>
      <c r="B2" s="6" t="s">
        <v>43</v>
      </c>
      <c r="C2" s="5">
        <v>11.0</v>
      </c>
      <c r="D2" s="5">
        <v>30.0</v>
      </c>
      <c r="E2" s="4" t="s">
        <v>50</v>
      </c>
      <c r="F2" s="6" t="s">
        <v>52</v>
      </c>
      <c r="G2" s="6" t="s">
        <v>54</v>
      </c>
      <c r="H2" s="4" t="s">
        <v>54</v>
      </c>
      <c r="I2" s="4" t="s">
        <v>54</v>
      </c>
      <c r="J2" s="6" t="b">
        <v>0</v>
      </c>
      <c r="K2" s="4" t="s">
        <v>56</v>
      </c>
    </row>
    <row r="3" ht="22.5" customHeight="1">
      <c r="A3" s="4" t="s">
        <v>70</v>
      </c>
      <c r="B3" s="6" t="s">
        <v>43</v>
      </c>
      <c r="C3" s="5">
        <v>90.0</v>
      </c>
      <c r="D3" s="5">
        <v>99.0</v>
      </c>
      <c r="E3" s="4" t="s">
        <v>75</v>
      </c>
      <c r="F3" s="6" t="s">
        <v>76</v>
      </c>
      <c r="G3" s="6" t="s">
        <v>77</v>
      </c>
      <c r="H3" s="4" t="s">
        <v>78</v>
      </c>
      <c r="I3" s="4" t="s">
        <v>80</v>
      </c>
      <c r="J3" s="6" t="b">
        <v>0</v>
      </c>
      <c r="K3" s="4" t="s">
        <v>56</v>
      </c>
    </row>
    <row r="4" ht="22.5" customHeight="1">
      <c r="A4" s="4" t="s">
        <v>91</v>
      </c>
      <c r="B4" s="6" t="s">
        <v>43</v>
      </c>
      <c r="C4" s="5">
        <v>61.0</v>
      </c>
      <c r="D4" s="5">
        <v>89.0</v>
      </c>
      <c r="E4" s="4" t="s">
        <v>96</v>
      </c>
      <c r="F4" s="6" t="s">
        <v>97</v>
      </c>
      <c r="G4" s="6" t="s">
        <v>77</v>
      </c>
      <c r="H4" s="4" t="s">
        <v>99</v>
      </c>
      <c r="I4" s="4" t="s">
        <v>100</v>
      </c>
      <c r="J4" s="6" t="b">
        <v>0</v>
      </c>
      <c r="K4" s="4" t="s">
        <v>56</v>
      </c>
    </row>
    <row r="5" ht="22.5" customHeight="1">
      <c r="A5" s="4" t="s">
        <v>105</v>
      </c>
      <c r="B5" s="6" t="s">
        <v>43</v>
      </c>
      <c r="C5" s="5">
        <v>0.0</v>
      </c>
      <c r="D5" s="5">
        <v>10.0</v>
      </c>
      <c r="E5" s="4" t="s">
        <v>108</v>
      </c>
      <c r="F5" s="6" t="s">
        <v>54</v>
      </c>
      <c r="G5" s="6" t="s">
        <v>54</v>
      </c>
      <c r="H5" s="4" t="s">
        <v>54</v>
      </c>
      <c r="I5" s="4" t="s">
        <v>54</v>
      </c>
      <c r="J5" s="6" t="b">
        <v>0</v>
      </c>
      <c r="K5" s="4" t="s">
        <v>56</v>
      </c>
    </row>
    <row r="6" ht="22.5" customHeight="1">
      <c r="A6" s="4" t="s">
        <v>111</v>
      </c>
      <c r="B6" s="6" t="s">
        <v>43</v>
      </c>
      <c r="C6" s="5">
        <v>31.0</v>
      </c>
      <c r="D6" s="5">
        <v>60.0</v>
      </c>
      <c r="E6" s="4" t="s">
        <v>113</v>
      </c>
      <c r="F6" s="6" t="s">
        <v>114</v>
      </c>
      <c r="G6" s="6" t="s">
        <v>77</v>
      </c>
      <c r="H6" s="4" t="s">
        <v>116</v>
      </c>
      <c r="I6" s="4" t="s">
        <v>118</v>
      </c>
      <c r="J6" s="6" t="b">
        <v>0</v>
      </c>
      <c r="K6" s="4" t="s">
        <v>56</v>
      </c>
    </row>
    <row r="7" ht="22.5" customHeight="1">
      <c r="A7" s="4" t="s">
        <v>121</v>
      </c>
      <c r="B7" s="6" t="s">
        <v>43</v>
      </c>
      <c r="C7" s="5">
        <v>100.0</v>
      </c>
      <c r="D7" s="5">
        <v>100.0</v>
      </c>
      <c r="E7" s="4" t="s">
        <v>123</v>
      </c>
      <c r="F7" s="6" t="s">
        <v>124</v>
      </c>
      <c r="G7" s="6" t="s">
        <v>125</v>
      </c>
      <c r="H7" s="4" t="s">
        <v>78</v>
      </c>
      <c r="I7" s="4" t="s">
        <v>123</v>
      </c>
      <c r="J7" s="6" t="b">
        <v>0</v>
      </c>
      <c r="K7" s="4" t="s">
        <v>128</v>
      </c>
    </row>
    <row r="8" ht="22.5" customHeight="1">
      <c r="A8" s="4" t="s">
        <v>130</v>
      </c>
      <c r="B8" s="6" t="s">
        <v>29</v>
      </c>
      <c r="C8" s="5">
        <v>11.0</v>
      </c>
      <c r="D8" s="5">
        <v>30.0</v>
      </c>
      <c r="E8" s="4" t="s">
        <v>76</v>
      </c>
      <c r="F8" s="6" t="s">
        <v>76</v>
      </c>
      <c r="G8" s="6" t="s">
        <v>134</v>
      </c>
      <c r="H8" s="4" t="s">
        <v>78</v>
      </c>
      <c r="I8" s="4" t="s">
        <v>135</v>
      </c>
      <c r="J8" s="6" t="b">
        <v>0</v>
      </c>
      <c r="K8" s="4" t="s">
        <v>56</v>
      </c>
    </row>
    <row r="9" ht="22.5" customHeight="1">
      <c r="A9" s="4" t="s">
        <v>138</v>
      </c>
      <c r="B9" s="6" t="s">
        <v>29</v>
      </c>
      <c r="C9" s="5">
        <v>0.0</v>
      </c>
      <c r="D9" s="5">
        <v>0.0</v>
      </c>
      <c r="E9" s="4" t="s">
        <v>140</v>
      </c>
      <c r="F9" s="6" t="s">
        <v>124</v>
      </c>
      <c r="G9" s="6" t="s">
        <v>54</v>
      </c>
      <c r="H9" s="4" t="s">
        <v>78</v>
      </c>
      <c r="I9" s="4" t="s">
        <v>141</v>
      </c>
      <c r="J9" s="6" t="b">
        <v>1</v>
      </c>
      <c r="K9" s="4" t="s">
        <v>142</v>
      </c>
    </row>
    <row r="10" ht="22.5" customHeight="1">
      <c r="A10" s="4" t="s">
        <v>143</v>
      </c>
      <c r="B10" s="6" t="s">
        <v>29</v>
      </c>
      <c r="C10" s="5">
        <v>90.0</v>
      </c>
      <c r="D10" s="5">
        <v>100.0</v>
      </c>
      <c r="E10" s="4" t="s">
        <v>144</v>
      </c>
      <c r="F10" s="6" t="s">
        <v>54</v>
      </c>
      <c r="G10" s="6" t="s">
        <v>54</v>
      </c>
      <c r="H10" s="4" t="s">
        <v>54</v>
      </c>
      <c r="I10" s="4" t="s">
        <v>54</v>
      </c>
      <c r="J10" s="6" t="b">
        <v>0</v>
      </c>
      <c r="K10" s="4" t="s">
        <v>56</v>
      </c>
    </row>
    <row r="11" ht="22.5" customHeight="1">
      <c r="A11" s="4" t="s">
        <v>145</v>
      </c>
      <c r="B11" s="6" t="s">
        <v>29</v>
      </c>
      <c r="C11" s="5">
        <v>1.0</v>
      </c>
      <c r="D11" s="5">
        <v>10.0</v>
      </c>
      <c r="E11" s="4" t="s">
        <v>146</v>
      </c>
      <c r="F11" s="6" t="s">
        <v>76</v>
      </c>
      <c r="G11" s="6" t="s">
        <v>125</v>
      </c>
      <c r="H11" s="4" t="s">
        <v>78</v>
      </c>
      <c r="I11" s="4" t="s">
        <v>147</v>
      </c>
      <c r="J11" s="6" t="b">
        <v>0</v>
      </c>
      <c r="K11" s="4" t="s">
        <v>148</v>
      </c>
    </row>
    <row r="12" ht="22.5" customHeight="1">
      <c r="A12" s="4" t="s">
        <v>149</v>
      </c>
      <c r="B12" s="6" t="s">
        <v>29</v>
      </c>
      <c r="C12" s="5">
        <v>61.0</v>
      </c>
      <c r="D12" s="5">
        <v>89.0</v>
      </c>
      <c r="E12" s="4" t="s">
        <v>150</v>
      </c>
      <c r="F12" s="6" t="s">
        <v>52</v>
      </c>
      <c r="G12" s="6" t="s">
        <v>151</v>
      </c>
      <c r="H12" s="4" t="s">
        <v>116</v>
      </c>
      <c r="I12" s="4" t="s">
        <v>118</v>
      </c>
      <c r="J12" s="6" t="b">
        <v>0</v>
      </c>
      <c r="K12" s="4" t="s">
        <v>56</v>
      </c>
    </row>
    <row r="13" ht="22.5" customHeight="1">
      <c r="A13" s="4" t="s">
        <v>152</v>
      </c>
      <c r="B13" s="6" t="s">
        <v>29</v>
      </c>
      <c r="C13" s="5">
        <v>31.0</v>
      </c>
      <c r="D13" s="5">
        <v>60.0</v>
      </c>
      <c r="E13" s="4" t="s">
        <v>153</v>
      </c>
      <c r="F13" s="6" t="s">
        <v>97</v>
      </c>
      <c r="G13" s="6" t="s">
        <v>134</v>
      </c>
      <c r="H13" s="4" t="s">
        <v>99</v>
      </c>
      <c r="I13" s="4" t="s">
        <v>154</v>
      </c>
      <c r="J13" s="6" t="b">
        <v>0</v>
      </c>
      <c r="K13" s="4" t="s">
        <v>56</v>
      </c>
    </row>
    <row r="14" ht="22.5" customHeight="1">
      <c r="A14" s="4" t="s">
        <v>155</v>
      </c>
      <c r="B14" s="6" t="s">
        <v>58</v>
      </c>
      <c r="C14" s="5">
        <v>90.0</v>
      </c>
      <c r="D14" s="5">
        <v>100.0</v>
      </c>
      <c r="E14" s="4" t="s">
        <v>156</v>
      </c>
      <c r="F14" s="6" t="s">
        <v>76</v>
      </c>
      <c r="G14" s="6" t="s">
        <v>157</v>
      </c>
      <c r="H14" s="4" t="s">
        <v>78</v>
      </c>
      <c r="I14" s="4" t="s">
        <v>158</v>
      </c>
      <c r="J14" s="6" t="b">
        <v>0</v>
      </c>
      <c r="K14" s="4" t="s">
        <v>56</v>
      </c>
    </row>
    <row r="15" ht="22.5" customHeight="1">
      <c r="A15" s="4" t="s">
        <v>159</v>
      </c>
      <c r="B15" s="6" t="s">
        <v>58</v>
      </c>
      <c r="C15" s="5">
        <v>1.0</v>
      </c>
      <c r="D15" s="5">
        <v>30.0</v>
      </c>
      <c r="E15" s="4" t="s">
        <v>160</v>
      </c>
      <c r="F15" s="6" t="s">
        <v>52</v>
      </c>
      <c r="G15" s="6" t="s">
        <v>134</v>
      </c>
      <c r="H15" s="4" t="s">
        <v>116</v>
      </c>
      <c r="I15" s="4" t="s">
        <v>161</v>
      </c>
      <c r="J15" s="6" t="b">
        <v>0</v>
      </c>
      <c r="K15" s="4" t="s">
        <v>56</v>
      </c>
    </row>
    <row r="16" ht="22.5" customHeight="1">
      <c r="A16" s="4" t="s">
        <v>162</v>
      </c>
      <c r="B16" s="6" t="s">
        <v>58</v>
      </c>
      <c r="C16" s="5">
        <v>31.0</v>
      </c>
      <c r="D16" s="5">
        <v>60.0</v>
      </c>
      <c r="E16" s="4" t="s">
        <v>163</v>
      </c>
      <c r="F16" s="6" t="s">
        <v>114</v>
      </c>
      <c r="G16" s="6" t="s">
        <v>134</v>
      </c>
      <c r="H16" s="4" t="s">
        <v>99</v>
      </c>
      <c r="I16" s="4" t="s">
        <v>164</v>
      </c>
      <c r="J16" s="6" t="b">
        <v>0</v>
      </c>
      <c r="K16" s="4" t="s">
        <v>56</v>
      </c>
    </row>
    <row r="17" ht="22.5" customHeight="1">
      <c r="A17" s="4" t="s">
        <v>166</v>
      </c>
      <c r="B17" s="6" t="s">
        <v>58</v>
      </c>
      <c r="C17" s="5">
        <v>0.0</v>
      </c>
      <c r="D17" s="5">
        <v>0.0</v>
      </c>
      <c r="E17" s="4" t="s">
        <v>167</v>
      </c>
      <c r="F17" s="6" t="s">
        <v>54</v>
      </c>
      <c r="G17" s="6" t="s">
        <v>54</v>
      </c>
      <c r="H17" s="4" t="s">
        <v>54</v>
      </c>
      <c r="I17" s="4" t="s">
        <v>54</v>
      </c>
      <c r="J17" s="6" t="b">
        <v>0</v>
      </c>
      <c r="K17" s="4" t="s">
        <v>170</v>
      </c>
    </row>
    <row r="18" ht="22.5" customHeight="1">
      <c r="A18" s="4" t="s">
        <v>174</v>
      </c>
      <c r="B18" s="6" t="s">
        <v>58</v>
      </c>
      <c r="C18" s="5">
        <v>61.0</v>
      </c>
      <c r="D18" s="5">
        <v>89.0</v>
      </c>
      <c r="E18" s="4" t="s">
        <v>177</v>
      </c>
      <c r="F18" s="6" t="s">
        <v>97</v>
      </c>
      <c r="G18" s="6" t="s">
        <v>134</v>
      </c>
      <c r="H18" s="4" t="s">
        <v>179</v>
      </c>
      <c r="I18" s="4" t="s">
        <v>180</v>
      </c>
      <c r="J18" s="6" t="b">
        <v>0</v>
      </c>
      <c r="K18" s="4" t="s">
        <v>56</v>
      </c>
    </row>
    <row r="19" ht="22.5" customHeight="1">
      <c r="A19" s="4" t="s">
        <v>183</v>
      </c>
      <c r="B19" s="6" t="s">
        <v>87</v>
      </c>
      <c r="C19" s="5">
        <v>61.0</v>
      </c>
      <c r="D19" s="5">
        <v>89.0</v>
      </c>
      <c r="E19" s="4" t="s">
        <v>184</v>
      </c>
      <c r="F19" s="6" t="s">
        <v>52</v>
      </c>
      <c r="G19" s="6" t="s">
        <v>186</v>
      </c>
      <c r="H19" s="4" t="s">
        <v>54</v>
      </c>
      <c r="I19" s="4" t="s">
        <v>189</v>
      </c>
      <c r="J19" s="6" t="b">
        <v>0</v>
      </c>
      <c r="K19" s="4" t="s">
        <v>56</v>
      </c>
    </row>
    <row r="20" ht="22.5" customHeight="1">
      <c r="A20" s="4" t="s">
        <v>197</v>
      </c>
      <c r="B20" s="6" t="s">
        <v>87</v>
      </c>
      <c r="C20" s="5">
        <v>11.0</v>
      </c>
      <c r="D20" s="5">
        <v>30.0</v>
      </c>
      <c r="E20" s="4" t="s">
        <v>202</v>
      </c>
      <c r="F20" s="6" t="s">
        <v>97</v>
      </c>
      <c r="G20" s="6" t="s">
        <v>186</v>
      </c>
      <c r="H20" s="4" t="s">
        <v>99</v>
      </c>
      <c r="I20" s="4" t="s">
        <v>206</v>
      </c>
      <c r="J20" s="6" t="b">
        <v>0</v>
      </c>
      <c r="K20" s="4" t="s">
        <v>56</v>
      </c>
    </row>
    <row r="21" ht="22.5" customHeight="1">
      <c r="A21" s="4" t="s">
        <v>211</v>
      </c>
      <c r="B21" s="6" t="s">
        <v>87</v>
      </c>
      <c r="C21" s="5">
        <v>90.0</v>
      </c>
      <c r="D21" s="5">
        <v>100.0</v>
      </c>
      <c r="E21" s="4" t="s">
        <v>216</v>
      </c>
      <c r="F21" s="6" t="s">
        <v>54</v>
      </c>
      <c r="G21" s="6" t="s">
        <v>54</v>
      </c>
      <c r="H21" s="4" t="s">
        <v>54</v>
      </c>
      <c r="I21" s="4" t="s">
        <v>54</v>
      </c>
      <c r="J21" s="6" t="b">
        <v>0</v>
      </c>
      <c r="K21" s="4" t="s">
        <v>56</v>
      </c>
    </row>
    <row r="22" ht="22.5" customHeight="1">
      <c r="A22" s="4" t="s">
        <v>224</v>
      </c>
      <c r="B22" s="6" t="s">
        <v>87</v>
      </c>
      <c r="C22" s="5">
        <v>0.0</v>
      </c>
      <c r="D22" s="5">
        <v>10.0</v>
      </c>
      <c r="E22" s="4" t="s">
        <v>229</v>
      </c>
      <c r="F22" s="6" t="s">
        <v>76</v>
      </c>
      <c r="G22" s="6" t="s">
        <v>186</v>
      </c>
      <c r="H22" s="4" t="s">
        <v>78</v>
      </c>
      <c r="I22" s="4" t="s">
        <v>230</v>
      </c>
      <c r="J22" s="6" t="b">
        <v>0</v>
      </c>
      <c r="K22" s="4" t="s">
        <v>56</v>
      </c>
    </row>
    <row r="23" ht="22.5" customHeight="1">
      <c r="A23" s="4" t="s">
        <v>234</v>
      </c>
      <c r="B23" s="6" t="s">
        <v>87</v>
      </c>
      <c r="C23" s="5">
        <v>31.0</v>
      </c>
      <c r="D23" s="5">
        <v>60.0</v>
      </c>
      <c r="E23" s="4" t="s">
        <v>238</v>
      </c>
      <c r="F23" s="6" t="s">
        <v>114</v>
      </c>
      <c r="G23" s="6" t="s">
        <v>186</v>
      </c>
      <c r="H23" s="4" t="s">
        <v>116</v>
      </c>
      <c r="I23" s="4" t="s">
        <v>239</v>
      </c>
      <c r="J23" s="6" t="b">
        <v>0</v>
      </c>
      <c r="K23" s="4" t="s">
        <v>56</v>
      </c>
    </row>
    <row r="24" ht="22.5" customHeight="1">
      <c r="A24" s="4" t="s">
        <v>244</v>
      </c>
      <c r="B24" s="6" t="s">
        <v>102</v>
      </c>
      <c r="C24" s="5">
        <v>76.0</v>
      </c>
      <c r="D24" s="5">
        <v>89.0</v>
      </c>
      <c r="E24" s="4" t="s">
        <v>246</v>
      </c>
      <c r="F24" s="6" t="s">
        <v>76</v>
      </c>
      <c r="G24" s="6" t="s">
        <v>227</v>
      </c>
      <c r="H24" s="4" t="s">
        <v>247</v>
      </c>
      <c r="I24" s="4" t="s">
        <v>248</v>
      </c>
      <c r="J24" s="6" t="b">
        <v>0</v>
      </c>
      <c r="K24" s="4" t="s">
        <v>56</v>
      </c>
    </row>
    <row r="25" ht="22.5" customHeight="1">
      <c r="A25" s="4" t="s">
        <v>250</v>
      </c>
      <c r="B25" s="6" t="s">
        <v>102</v>
      </c>
      <c r="C25" s="5">
        <v>100.0</v>
      </c>
      <c r="D25" s="5">
        <v>100.0</v>
      </c>
      <c r="E25" s="4" t="s">
        <v>253</v>
      </c>
      <c r="F25" s="6" t="s">
        <v>124</v>
      </c>
      <c r="G25" s="6" t="s">
        <v>125</v>
      </c>
      <c r="H25" s="4" t="s">
        <v>78</v>
      </c>
      <c r="I25" s="4" t="s">
        <v>255</v>
      </c>
      <c r="J25" s="6" t="b">
        <v>0</v>
      </c>
      <c r="K25" s="4" t="s">
        <v>256</v>
      </c>
    </row>
    <row r="26" ht="22.5" customHeight="1">
      <c r="A26" s="4" t="s">
        <v>258</v>
      </c>
      <c r="B26" s="6" t="s">
        <v>102</v>
      </c>
      <c r="C26" s="5">
        <v>0.0</v>
      </c>
      <c r="D26" s="5">
        <v>10.0</v>
      </c>
      <c r="E26" s="4" t="s">
        <v>261</v>
      </c>
      <c r="F26" s="6" t="s">
        <v>54</v>
      </c>
      <c r="G26" s="6" t="s">
        <v>54</v>
      </c>
      <c r="H26" s="4" t="s">
        <v>54</v>
      </c>
      <c r="I26" s="4" t="s">
        <v>54</v>
      </c>
      <c r="J26" s="6" t="b">
        <v>0</v>
      </c>
      <c r="K26" s="4" t="s">
        <v>56</v>
      </c>
    </row>
    <row r="27" ht="22.5" customHeight="1">
      <c r="A27" s="4" t="s">
        <v>266</v>
      </c>
      <c r="B27" s="6" t="s">
        <v>102</v>
      </c>
      <c r="C27" s="5">
        <v>11.0</v>
      </c>
      <c r="D27" s="5">
        <v>30.0</v>
      </c>
      <c r="E27" s="4" t="s">
        <v>268</v>
      </c>
      <c r="F27" s="6" t="s">
        <v>52</v>
      </c>
      <c r="G27" s="6" t="s">
        <v>54</v>
      </c>
      <c r="H27" s="4" t="s">
        <v>54</v>
      </c>
      <c r="I27" s="4" t="s">
        <v>118</v>
      </c>
      <c r="J27" s="6" t="b">
        <v>0</v>
      </c>
      <c r="K27" s="4" t="s">
        <v>56</v>
      </c>
    </row>
    <row r="28" ht="22.5" customHeight="1">
      <c r="A28" s="4" t="s">
        <v>270</v>
      </c>
      <c r="B28" s="6" t="s">
        <v>102</v>
      </c>
      <c r="C28" s="5">
        <v>61.0</v>
      </c>
      <c r="D28" s="5">
        <v>75.0</v>
      </c>
      <c r="E28" s="4" t="s">
        <v>274</v>
      </c>
      <c r="F28" s="6" t="s">
        <v>97</v>
      </c>
      <c r="G28" s="6" t="s">
        <v>227</v>
      </c>
      <c r="H28" s="4" t="s">
        <v>99</v>
      </c>
      <c r="I28" s="4" t="s">
        <v>279</v>
      </c>
      <c r="J28" s="6" t="b">
        <v>0</v>
      </c>
      <c r="K28" s="4" t="s">
        <v>56</v>
      </c>
    </row>
    <row r="29" ht="22.5" customHeight="1">
      <c r="A29" s="4" t="s">
        <v>286</v>
      </c>
      <c r="B29" s="6" t="s">
        <v>102</v>
      </c>
      <c r="C29" s="5">
        <v>90.0</v>
      </c>
      <c r="D29" s="5">
        <v>99.0</v>
      </c>
      <c r="E29" s="4" t="s">
        <v>287</v>
      </c>
      <c r="F29" s="6" t="s">
        <v>76</v>
      </c>
      <c r="G29" s="6" t="s">
        <v>125</v>
      </c>
      <c r="H29" s="4" t="s">
        <v>78</v>
      </c>
      <c r="I29" s="4" t="s">
        <v>288</v>
      </c>
      <c r="J29" s="6" t="b">
        <v>0</v>
      </c>
      <c r="K29" s="4" t="s">
        <v>289</v>
      </c>
    </row>
    <row r="30" ht="22.5" customHeight="1">
      <c r="A30" s="4" t="s">
        <v>292</v>
      </c>
      <c r="B30" s="6" t="s">
        <v>102</v>
      </c>
      <c r="C30" s="5">
        <v>31.0</v>
      </c>
      <c r="D30" s="5">
        <v>60.0</v>
      </c>
      <c r="E30" s="4" t="s">
        <v>296</v>
      </c>
      <c r="F30" s="6" t="s">
        <v>114</v>
      </c>
      <c r="G30" s="6" t="s">
        <v>298</v>
      </c>
      <c r="H30" s="4" t="s">
        <v>116</v>
      </c>
      <c r="I30" s="4" t="s">
        <v>300</v>
      </c>
      <c r="J30" s="6" t="b">
        <v>0</v>
      </c>
      <c r="K30" s="4" t="s">
        <v>56</v>
      </c>
    </row>
    <row r="31" ht="22.5" customHeight="1">
      <c r="A31" s="4" t="s">
        <v>305</v>
      </c>
      <c r="B31" s="6" t="s">
        <v>110</v>
      </c>
      <c r="C31" s="5">
        <v>11.0</v>
      </c>
      <c r="D31" s="5">
        <v>30.0</v>
      </c>
      <c r="E31" s="4" t="s">
        <v>310</v>
      </c>
      <c r="F31" s="6" t="s">
        <v>52</v>
      </c>
      <c r="G31" s="6" t="s">
        <v>54</v>
      </c>
      <c r="H31" s="4" t="s">
        <v>54</v>
      </c>
      <c r="I31" s="4" t="s">
        <v>54</v>
      </c>
      <c r="J31" s="6" t="b">
        <v>0</v>
      </c>
      <c r="K31" s="4" t="s">
        <v>313</v>
      </c>
    </row>
    <row r="32" ht="22.5" customHeight="1">
      <c r="A32" s="4" t="s">
        <v>317</v>
      </c>
      <c r="B32" s="6" t="s">
        <v>110</v>
      </c>
      <c r="C32" s="5">
        <v>61.0</v>
      </c>
      <c r="D32" s="5">
        <v>75.0</v>
      </c>
      <c r="E32" s="4" t="s">
        <v>318</v>
      </c>
      <c r="F32" s="6" t="s">
        <v>97</v>
      </c>
      <c r="G32" s="6" t="s">
        <v>54</v>
      </c>
      <c r="H32" s="4" t="s">
        <v>99</v>
      </c>
      <c r="I32" s="4" t="s">
        <v>319</v>
      </c>
      <c r="J32" s="6" t="b">
        <v>0</v>
      </c>
      <c r="K32" s="4" t="s">
        <v>320</v>
      </c>
    </row>
    <row r="33" ht="22.5" customHeight="1">
      <c r="A33" s="4" t="s">
        <v>321</v>
      </c>
      <c r="B33" s="6" t="s">
        <v>110</v>
      </c>
      <c r="C33" s="5">
        <v>100.0</v>
      </c>
      <c r="D33" s="5">
        <v>100.0</v>
      </c>
      <c r="E33" s="4" t="s">
        <v>322</v>
      </c>
      <c r="F33" s="6" t="s">
        <v>76</v>
      </c>
      <c r="G33" s="6" t="s">
        <v>125</v>
      </c>
      <c r="H33" s="4" t="s">
        <v>323</v>
      </c>
      <c r="I33" s="4" t="s">
        <v>324</v>
      </c>
      <c r="J33" s="6" t="b">
        <v>0</v>
      </c>
      <c r="K33" s="4" t="s">
        <v>325</v>
      </c>
    </row>
    <row r="34" ht="22.5" customHeight="1">
      <c r="A34" s="4" t="s">
        <v>326</v>
      </c>
      <c r="B34" s="6" t="s">
        <v>110</v>
      </c>
      <c r="C34" s="5">
        <v>76.0</v>
      </c>
      <c r="D34" s="5">
        <v>89.0</v>
      </c>
      <c r="E34" s="4" t="s">
        <v>327</v>
      </c>
      <c r="F34" s="6" t="s">
        <v>97</v>
      </c>
      <c r="G34" s="6" t="s">
        <v>54</v>
      </c>
      <c r="H34" s="4" t="s">
        <v>99</v>
      </c>
      <c r="I34" s="4" t="s">
        <v>328</v>
      </c>
      <c r="J34" s="6" t="b">
        <v>0</v>
      </c>
      <c r="K34" s="4" t="s">
        <v>329</v>
      </c>
    </row>
    <row r="35" ht="22.5" customHeight="1">
      <c r="A35" s="4" t="s">
        <v>330</v>
      </c>
      <c r="B35" s="6" t="s">
        <v>110</v>
      </c>
      <c r="C35" s="5">
        <v>0.0</v>
      </c>
      <c r="D35" s="5">
        <v>10.0</v>
      </c>
      <c r="E35" s="4" t="s">
        <v>331</v>
      </c>
      <c r="F35" s="6" t="s">
        <v>54</v>
      </c>
      <c r="G35" s="6" t="s">
        <v>54</v>
      </c>
      <c r="H35" s="4" t="s">
        <v>54</v>
      </c>
      <c r="I35" s="4" t="s">
        <v>54</v>
      </c>
      <c r="J35" s="6" t="b">
        <v>0</v>
      </c>
      <c r="K35" s="4" t="s">
        <v>333</v>
      </c>
    </row>
    <row r="36" ht="22.5" customHeight="1">
      <c r="A36" s="4" t="s">
        <v>335</v>
      </c>
      <c r="B36" s="6" t="s">
        <v>110</v>
      </c>
      <c r="C36" s="5">
        <v>90.0</v>
      </c>
      <c r="D36" s="5">
        <v>99.0</v>
      </c>
      <c r="E36" s="4" t="s">
        <v>339</v>
      </c>
      <c r="F36" s="6" t="s">
        <v>76</v>
      </c>
      <c r="G36" s="6" t="s">
        <v>298</v>
      </c>
      <c r="H36" s="4" t="s">
        <v>323</v>
      </c>
      <c r="I36" s="4" t="s">
        <v>341</v>
      </c>
      <c r="J36" s="6" t="b">
        <v>0</v>
      </c>
      <c r="K36" s="4" t="s">
        <v>342</v>
      </c>
    </row>
    <row r="37" ht="22.5" customHeight="1">
      <c r="A37" s="4" t="s">
        <v>346</v>
      </c>
      <c r="B37" s="6" t="s">
        <v>110</v>
      </c>
      <c r="C37" s="5">
        <v>31.0</v>
      </c>
      <c r="D37" s="5">
        <v>60.0</v>
      </c>
      <c r="E37" s="4" t="s">
        <v>347</v>
      </c>
      <c r="F37" s="6" t="s">
        <v>114</v>
      </c>
      <c r="G37" s="6" t="s">
        <v>54</v>
      </c>
      <c r="H37" s="4" t="s">
        <v>116</v>
      </c>
      <c r="I37" s="4" t="s">
        <v>348</v>
      </c>
      <c r="J37" s="6" t="b">
        <v>0</v>
      </c>
      <c r="K37" s="4" t="s">
        <v>351</v>
      </c>
    </row>
  </sheetData>
  <dataValidations>
    <dataValidation type="list" allowBlank="1" showDropDown="1" showErrorMessage="1" sqref="G2:G37">
      <formula1>"None,Resting,Recovery,Healing,Recovering,Medical Evacuation,Eating,Decompress,Therapy"</formula1>
    </dataValidation>
    <dataValidation type="list" allowBlank="1" showDropDown="1" showErrorMessage="1" sqref="F2:F37">
      <formula1>"None,Low,Moderate,High,Critical,Terminal"</formula1>
    </dataValidation>
    <dataValidation type="list" allowBlank="1" showDropDown="1" showErrorMessage="1" sqref="B2:B37">
      <formula1>"FATIGUE,HEALTH,INJURY,NUTRITION,STRESS,WORKLOAD"</formula1>
    </dataValidation>
    <dataValidation type="list" allowBlank="1" showDropDown="1" showErrorMessage="1" sqref="J2:J37">
      <formula1>"FALSE,TRUE"</formula1>
    </dataValidation>
    <dataValidation type="custom" allowBlank="1" showDropDown="1" sqref="C2:D37">
      <formula1>AND(ISNUMBER(C2),(NOT(OR(NOT(ISERROR(DATEVALUE(C2))), AND(ISNUMBER(C2), LEFT(CELL("format", C2))="D")))))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3" max="3" width="15.75"/>
    <col customWidth="1" min="5" max="5" width="12.75"/>
    <col customWidth="1" min="8" max="8" width="11.38"/>
    <col customWidth="1" min="9" max="9" width="12.38"/>
    <col customWidth="1" min="10" max="10" width="28.13"/>
    <col customWidth="1" min="11" max="11" width="24.38"/>
    <col customWidth="1" min="12" max="12" width="22.0"/>
  </cols>
  <sheetData>
    <row r="1" ht="22.5" customHeight="1">
      <c r="A1" s="2" t="s">
        <v>3</v>
      </c>
      <c r="B1" s="2" t="s">
        <v>6</v>
      </c>
      <c r="C1" s="3" t="s">
        <v>8</v>
      </c>
      <c r="D1" s="3" t="s">
        <v>13</v>
      </c>
      <c r="E1" s="2" t="s">
        <v>17</v>
      </c>
      <c r="F1" s="2" t="s">
        <v>20</v>
      </c>
      <c r="G1" s="2" t="s">
        <v>23</v>
      </c>
      <c r="H1" s="2" t="s">
        <v>26</v>
      </c>
      <c r="I1" s="2" t="s">
        <v>28</v>
      </c>
      <c r="J1" s="2" t="s">
        <v>31</v>
      </c>
      <c r="K1" s="2" t="s">
        <v>33</v>
      </c>
      <c r="L1" s="2" t="s">
        <v>35</v>
      </c>
      <c r="M1" s="2" t="s">
        <v>24</v>
      </c>
    </row>
    <row r="2" ht="22.5" customHeight="1">
      <c r="A2" s="4">
        <v>1.0</v>
      </c>
      <c r="B2" s="4">
        <v>142.0</v>
      </c>
      <c r="C2" s="6" t="s">
        <v>40</v>
      </c>
      <c r="D2" s="4">
        <f t="shared" ref="D2:D11" si="2">B2</f>
        <v>142</v>
      </c>
      <c r="E2" s="7">
        <f t="shared" ref="E2:I2" si="1">RANDBETWEEN(0,100)</f>
        <v>74</v>
      </c>
      <c r="F2" s="8">
        <f t="shared" si="1"/>
        <v>73</v>
      </c>
      <c r="G2" s="9">
        <f t="shared" si="1"/>
        <v>0</v>
      </c>
      <c r="H2" s="9">
        <f t="shared" si="1"/>
        <v>79</v>
      </c>
      <c r="I2" s="9">
        <f t="shared" si="1"/>
        <v>28</v>
      </c>
      <c r="J2" s="6" t="b">
        <v>0</v>
      </c>
      <c r="K2" s="10"/>
      <c r="L2" s="4">
        <v>0.0</v>
      </c>
      <c r="M2" s="4" t="s">
        <v>66</v>
      </c>
    </row>
    <row r="3" ht="22.5" customHeight="1">
      <c r="A3" s="4">
        <v>2.0</v>
      </c>
      <c r="B3" s="4">
        <v>154.0</v>
      </c>
      <c r="C3" s="6" t="s">
        <v>71</v>
      </c>
      <c r="D3" s="4">
        <f t="shared" si="2"/>
        <v>154</v>
      </c>
      <c r="E3" s="7">
        <f t="shared" ref="E3:I3" si="3">RANDBETWEEN(0,100)</f>
        <v>79</v>
      </c>
      <c r="F3" s="8">
        <f t="shared" si="3"/>
        <v>12</v>
      </c>
      <c r="G3" s="11">
        <f t="shared" si="3"/>
        <v>52</v>
      </c>
      <c r="H3" s="11">
        <f t="shared" si="3"/>
        <v>76</v>
      </c>
      <c r="I3" s="11">
        <f t="shared" si="3"/>
        <v>0</v>
      </c>
      <c r="J3" s="6" t="b">
        <v>0</v>
      </c>
      <c r="K3" s="10"/>
      <c r="L3" s="4">
        <v>0.0</v>
      </c>
      <c r="M3" s="4" t="s">
        <v>66</v>
      </c>
    </row>
    <row r="4" ht="22.5" customHeight="1">
      <c r="A4" s="4">
        <v>3.0</v>
      </c>
      <c r="B4" s="4">
        <v>80.0</v>
      </c>
      <c r="C4" s="6" t="s">
        <v>71</v>
      </c>
      <c r="D4" s="4">
        <f t="shared" si="2"/>
        <v>80</v>
      </c>
      <c r="E4" s="7">
        <f t="shared" ref="E4:I4" si="4">RANDBETWEEN(0,100)</f>
        <v>19</v>
      </c>
      <c r="F4" s="8">
        <f t="shared" si="4"/>
        <v>49</v>
      </c>
      <c r="G4" s="9">
        <f t="shared" si="4"/>
        <v>38</v>
      </c>
      <c r="H4" s="9">
        <f t="shared" si="4"/>
        <v>53</v>
      </c>
      <c r="I4" s="9">
        <f t="shared" si="4"/>
        <v>34</v>
      </c>
      <c r="J4" s="6" t="b">
        <v>0</v>
      </c>
      <c r="K4" s="10"/>
      <c r="L4" s="4">
        <v>0.0</v>
      </c>
      <c r="M4" s="4" t="s">
        <v>66</v>
      </c>
    </row>
    <row r="5" ht="22.5" customHeight="1">
      <c r="A5" s="4">
        <v>4.0</v>
      </c>
      <c r="B5" s="4">
        <v>158.0</v>
      </c>
      <c r="C5" s="12"/>
      <c r="D5" s="4">
        <f t="shared" si="2"/>
        <v>158</v>
      </c>
      <c r="E5" s="7">
        <f t="shared" ref="E5:I5" si="5">RANDBETWEEN(0,100)</f>
        <v>3</v>
      </c>
      <c r="F5" s="8">
        <f t="shared" si="5"/>
        <v>88</v>
      </c>
      <c r="G5" s="11">
        <f t="shared" si="5"/>
        <v>13</v>
      </c>
      <c r="H5" s="11">
        <f t="shared" si="5"/>
        <v>99</v>
      </c>
      <c r="I5" s="11">
        <f t="shared" si="5"/>
        <v>15</v>
      </c>
      <c r="J5" s="6" t="b">
        <v>0</v>
      </c>
      <c r="K5" s="10"/>
      <c r="L5" s="4">
        <v>0.0</v>
      </c>
      <c r="M5" s="4" t="s">
        <v>66</v>
      </c>
    </row>
    <row r="6" ht="22.5" customHeight="1">
      <c r="A6" s="4">
        <v>5.0</v>
      </c>
      <c r="B6" s="4">
        <v>90.0</v>
      </c>
      <c r="C6" s="12"/>
      <c r="D6" s="4">
        <f t="shared" si="2"/>
        <v>90</v>
      </c>
      <c r="E6" s="7">
        <f t="shared" ref="E6:I6" si="6">RANDBETWEEN(0,100)</f>
        <v>94</v>
      </c>
      <c r="F6" s="8">
        <f t="shared" si="6"/>
        <v>84</v>
      </c>
      <c r="G6" s="9">
        <f t="shared" si="6"/>
        <v>63</v>
      </c>
      <c r="H6" s="9">
        <f t="shared" si="6"/>
        <v>10</v>
      </c>
      <c r="I6" s="9">
        <f t="shared" si="6"/>
        <v>95</v>
      </c>
      <c r="J6" s="6" t="b">
        <v>0</v>
      </c>
      <c r="K6" s="10"/>
      <c r="L6" s="4">
        <v>0.0</v>
      </c>
      <c r="M6" s="4" t="s">
        <v>66</v>
      </c>
    </row>
    <row r="7" ht="22.5" customHeight="1">
      <c r="A7" s="4">
        <v>6.0</v>
      </c>
      <c r="B7" s="4">
        <v>104.0</v>
      </c>
      <c r="C7" s="12"/>
      <c r="D7" s="4">
        <f t="shared" si="2"/>
        <v>104</v>
      </c>
      <c r="E7" s="7">
        <f t="shared" ref="E7:I7" si="7">RANDBETWEEN(0,100)</f>
        <v>21</v>
      </c>
      <c r="F7" s="8">
        <f t="shared" si="7"/>
        <v>100</v>
      </c>
      <c r="G7" s="11">
        <f t="shared" si="7"/>
        <v>93</v>
      </c>
      <c r="H7" s="11">
        <f t="shared" si="7"/>
        <v>8</v>
      </c>
      <c r="I7" s="11">
        <f t="shared" si="7"/>
        <v>5</v>
      </c>
      <c r="J7" s="6" t="b">
        <v>1</v>
      </c>
      <c r="K7" s="10"/>
      <c r="L7" s="4">
        <v>0.0</v>
      </c>
      <c r="M7" s="4" t="s">
        <v>66</v>
      </c>
    </row>
    <row r="8" ht="22.5" customHeight="1">
      <c r="A8" s="4">
        <v>7.0</v>
      </c>
      <c r="B8" s="4">
        <v>125.0</v>
      </c>
      <c r="C8" s="12"/>
      <c r="D8" s="4">
        <f t="shared" si="2"/>
        <v>125</v>
      </c>
      <c r="E8" s="7">
        <f t="shared" ref="E8:I8" si="8">RANDBETWEEN(0,100)</f>
        <v>8</v>
      </c>
      <c r="F8" s="8">
        <f t="shared" si="8"/>
        <v>91</v>
      </c>
      <c r="G8" s="9">
        <f t="shared" si="8"/>
        <v>63</v>
      </c>
      <c r="H8" s="9">
        <f t="shared" si="8"/>
        <v>38</v>
      </c>
      <c r="I8" s="9">
        <f t="shared" si="8"/>
        <v>46</v>
      </c>
      <c r="J8" s="6" t="b">
        <v>0</v>
      </c>
      <c r="K8" s="10"/>
      <c r="L8" s="4">
        <v>0.0</v>
      </c>
      <c r="M8" s="4" t="s">
        <v>66</v>
      </c>
    </row>
    <row r="9" ht="22.5" customHeight="1">
      <c r="A9" s="4">
        <v>8.0</v>
      </c>
      <c r="B9" s="4">
        <v>105.0</v>
      </c>
      <c r="C9" s="12"/>
      <c r="D9" s="4">
        <f t="shared" si="2"/>
        <v>105</v>
      </c>
      <c r="E9" s="7">
        <f t="shared" ref="E9:I9" si="9">RANDBETWEEN(0,100)</f>
        <v>63</v>
      </c>
      <c r="F9" s="8">
        <f t="shared" si="9"/>
        <v>5</v>
      </c>
      <c r="G9" s="11">
        <f t="shared" si="9"/>
        <v>83</v>
      </c>
      <c r="H9" s="11">
        <f t="shared" si="9"/>
        <v>32</v>
      </c>
      <c r="I9" s="11">
        <f t="shared" si="9"/>
        <v>24</v>
      </c>
      <c r="J9" s="6" t="b">
        <v>0</v>
      </c>
      <c r="K9" s="10"/>
      <c r="L9" s="4">
        <v>0.0</v>
      </c>
      <c r="M9" s="4" t="s">
        <v>66</v>
      </c>
    </row>
    <row r="10" ht="22.5" customHeight="1">
      <c r="A10" s="4">
        <v>9.0</v>
      </c>
      <c r="B10" s="4">
        <v>91.0</v>
      </c>
      <c r="C10" s="12"/>
      <c r="D10" s="4">
        <f t="shared" si="2"/>
        <v>91</v>
      </c>
      <c r="E10" s="7">
        <f t="shared" ref="E10:I10" si="10">RANDBETWEEN(0,100)</f>
        <v>86</v>
      </c>
      <c r="F10" s="8">
        <f t="shared" si="10"/>
        <v>89</v>
      </c>
      <c r="G10" s="9">
        <f t="shared" si="10"/>
        <v>39</v>
      </c>
      <c r="H10" s="9">
        <f t="shared" si="10"/>
        <v>16</v>
      </c>
      <c r="I10" s="9">
        <f t="shared" si="10"/>
        <v>53</v>
      </c>
      <c r="J10" s="6" t="b">
        <v>0</v>
      </c>
      <c r="K10" s="10"/>
      <c r="L10" s="4">
        <v>0.0</v>
      </c>
      <c r="M10" s="4" t="s">
        <v>66</v>
      </c>
    </row>
    <row r="11" ht="22.5" customHeight="1">
      <c r="A11" s="4">
        <v>10.0</v>
      </c>
      <c r="B11" s="4">
        <v>135.0</v>
      </c>
      <c r="C11" s="12"/>
      <c r="D11" s="4">
        <f t="shared" si="2"/>
        <v>135</v>
      </c>
      <c r="E11" s="7">
        <f t="shared" ref="E11:I11" si="11">RANDBETWEEN(0,100)</f>
        <v>94</v>
      </c>
      <c r="F11" s="8">
        <f t="shared" si="11"/>
        <v>16</v>
      </c>
      <c r="G11" s="13">
        <f t="shared" si="11"/>
        <v>18</v>
      </c>
      <c r="H11" s="13">
        <f t="shared" si="11"/>
        <v>86</v>
      </c>
      <c r="I11" s="13">
        <f t="shared" si="11"/>
        <v>31</v>
      </c>
      <c r="J11" s="6" t="b">
        <v>0</v>
      </c>
      <c r="K11" s="10"/>
      <c r="L11" s="4">
        <v>0.0</v>
      </c>
      <c r="M11" s="4" t="s">
        <v>66</v>
      </c>
    </row>
    <row r="15">
      <c r="B15" s="14">
        <f>RANDBETWEEN(80,160)</f>
        <v>84</v>
      </c>
    </row>
  </sheetData>
  <dataValidations>
    <dataValidation type="list" allowBlank="1" sqref="C2:C11">
      <formula1>"Option 1,Option 2"</formula1>
    </dataValidation>
    <dataValidation type="list" allowBlank="1" sqref="J2:J11">
      <formula1>"TRUE,FALSE"</formula1>
    </dataValidation>
    <dataValidation type="list" allowBlank="1" sqref="K2:K11">
      <formula1>"Option 1,Option 2,as,asf,asgag"</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5"/>
    <col customWidth="1" min="2" max="2" width="18.75"/>
    <col customWidth="1" min="3" max="3" width="17.25"/>
    <col customWidth="1" min="4" max="4" width="17.63"/>
    <col customWidth="1" min="5" max="5" width="15.38"/>
    <col customWidth="1" min="6" max="6" width="19.75"/>
    <col customWidth="1" min="7" max="7" width="33.63"/>
    <col customWidth="1" min="8" max="8" width="37.63"/>
  </cols>
  <sheetData>
    <row r="1" ht="22.5" customHeight="1">
      <c r="A1" s="2" t="s">
        <v>2</v>
      </c>
      <c r="B1" s="2" t="s">
        <v>4</v>
      </c>
      <c r="C1" s="2" t="s">
        <v>7</v>
      </c>
      <c r="D1" s="2" t="s">
        <v>9</v>
      </c>
      <c r="E1" s="2" t="s">
        <v>10</v>
      </c>
      <c r="F1" s="2" t="s">
        <v>12</v>
      </c>
      <c r="G1" s="2" t="s">
        <v>15</v>
      </c>
      <c r="H1" s="2" t="s">
        <v>18</v>
      </c>
      <c r="I1" s="2" t="s">
        <v>21</v>
      </c>
    </row>
    <row r="2" ht="22.5" customHeight="1">
      <c r="A2" s="4" t="s">
        <v>27</v>
      </c>
      <c r="B2" s="4" t="s">
        <v>37</v>
      </c>
      <c r="C2" s="4">
        <v>0.0</v>
      </c>
      <c r="D2" s="4">
        <v>100.0</v>
      </c>
      <c r="E2" s="4">
        <v>50.0</v>
      </c>
      <c r="F2" s="4" t="b">
        <v>1</v>
      </c>
      <c r="G2" s="4" t="s">
        <v>45</v>
      </c>
      <c r="H2" s="4" t="s">
        <v>47</v>
      </c>
      <c r="I2" s="4" t="s">
        <v>48</v>
      </c>
    </row>
    <row r="3" ht="22.5" customHeight="1">
      <c r="A3" s="4" t="s">
        <v>53</v>
      </c>
      <c r="B3" s="4" t="s">
        <v>55</v>
      </c>
      <c r="C3" s="4">
        <v>0.0</v>
      </c>
      <c r="D3" s="4">
        <v>100.0</v>
      </c>
      <c r="E3" s="4">
        <v>50.0</v>
      </c>
      <c r="F3" s="4" t="b">
        <v>0</v>
      </c>
      <c r="G3" s="4" t="s">
        <v>57</v>
      </c>
      <c r="H3" s="4" t="s">
        <v>59</v>
      </c>
      <c r="I3" s="4" t="s">
        <v>49</v>
      </c>
    </row>
    <row r="4" ht="22.5" customHeight="1">
      <c r="A4" s="4" t="s">
        <v>61</v>
      </c>
      <c r="B4" s="4" t="s">
        <v>62</v>
      </c>
      <c r="C4" s="4">
        <v>0.0</v>
      </c>
      <c r="D4" s="4">
        <v>100.0</v>
      </c>
      <c r="E4" s="4">
        <v>50.0</v>
      </c>
      <c r="F4" s="4" t="b">
        <v>0</v>
      </c>
      <c r="G4" s="4" t="s">
        <v>67</v>
      </c>
      <c r="H4" s="4" t="s">
        <v>68</v>
      </c>
      <c r="I4" s="4" t="s">
        <v>49</v>
      </c>
    </row>
    <row r="5" ht="22.5" customHeight="1">
      <c r="A5" s="4" t="s">
        <v>72</v>
      </c>
      <c r="B5" s="4" t="s">
        <v>73</v>
      </c>
      <c r="C5" s="4">
        <v>0.0</v>
      </c>
      <c r="D5" s="4">
        <v>100.0</v>
      </c>
      <c r="E5" s="4">
        <v>50.0</v>
      </c>
      <c r="F5" s="4" t="b">
        <v>0</v>
      </c>
      <c r="G5" s="4" t="s">
        <v>79</v>
      </c>
      <c r="H5" s="4" t="s">
        <v>81</v>
      </c>
      <c r="I5" s="4" t="s">
        <v>49</v>
      </c>
    </row>
    <row r="6" ht="22.5" customHeight="1">
      <c r="A6" s="4" t="s">
        <v>84</v>
      </c>
      <c r="B6" s="4" t="s">
        <v>85</v>
      </c>
      <c r="C6" s="4">
        <v>0.0</v>
      </c>
      <c r="D6" s="4">
        <v>100.0</v>
      </c>
      <c r="E6" s="4">
        <v>50.0</v>
      </c>
      <c r="F6" s="4" t="b">
        <v>0</v>
      </c>
      <c r="G6" s="4" t="s">
        <v>89</v>
      </c>
      <c r="H6" s="4" t="s">
        <v>90</v>
      </c>
      <c r="I6" s="4" t="s">
        <v>49</v>
      </c>
    </row>
    <row r="7" ht="22.5" customHeight="1">
      <c r="A7" s="4" t="s">
        <v>93</v>
      </c>
      <c r="B7" s="4" t="s">
        <v>95</v>
      </c>
      <c r="C7" s="4">
        <v>0.0</v>
      </c>
      <c r="D7" s="4">
        <v>100.0</v>
      </c>
      <c r="E7" s="4">
        <v>0.0</v>
      </c>
      <c r="F7" s="4" t="b">
        <v>0</v>
      </c>
      <c r="G7" s="4" t="s">
        <v>101</v>
      </c>
      <c r="H7" s="4" t="s">
        <v>103</v>
      </c>
      <c r="I7" s="4" t="s">
        <v>48</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15.63"/>
    <col customWidth="1" min="3" max="3" width="15.88"/>
    <col customWidth="1" min="4" max="4" width="22.75"/>
    <col customWidth="1" min="5" max="5" width="16.63"/>
    <col customWidth="1" min="6" max="6" width="15.25"/>
    <col customWidth="1" min="7" max="7" width="21.88"/>
    <col customWidth="1" min="8" max="8" width="21.75"/>
    <col customWidth="1" min="9" max="9" width="16.75"/>
    <col customWidth="1" min="10" max="10" width="18.13"/>
    <col customWidth="1" min="12" max="12" width="36.88"/>
  </cols>
  <sheetData>
    <row r="1" ht="22.5" customHeight="1">
      <c r="A1" s="2" t="s">
        <v>165</v>
      </c>
      <c r="B1" s="2" t="s">
        <v>4</v>
      </c>
      <c r="C1" s="2" t="s">
        <v>168</v>
      </c>
      <c r="D1" s="2" t="s">
        <v>169</v>
      </c>
      <c r="E1" s="2" t="s">
        <v>171</v>
      </c>
      <c r="F1" s="2" t="s">
        <v>172</v>
      </c>
      <c r="G1" s="2" t="s">
        <v>173</v>
      </c>
      <c r="H1" s="2" t="s">
        <v>175</v>
      </c>
      <c r="I1" s="2" t="s">
        <v>176</v>
      </c>
      <c r="J1" s="2" t="s">
        <v>178</v>
      </c>
      <c r="K1" s="2" t="s">
        <v>21</v>
      </c>
      <c r="L1" s="2" t="s">
        <v>24</v>
      </c>
    </row>
    <row r="2" ht="22.5" customHeight="1">
      <c r="A2" s="4" t="s">
        <v>181</v>
      </c>
      <c r="B2" s="4" t="s">
        <v>77</v>
      </c>
      <c r="C2" s="4" t="s">
        <v>182</v>
      </c>
      <c r="D2" s="4">
        <v>60.0</v>
      </c>
      <c r="E2" s="4">
        <v>0.0</v>
      </c>
      <c r="F2" s="4">
        <v>0.0</v>
      </c>
      <c r="G2" s="4" t="s">
        <v>185</v>
      </c>
      <c r="H2" s="4" t="s">
        <v>188</v>
      </c>
      <c r="I2" s="4" t="s">
        <v>190</v>
      </c>
      <c r="J2" s="4">
        <v>1.0</v>
      </c>
      <c r="K2" s="4" t="s">
        <v>49</v>
      </c>
      <c r="L2" s="4" t="s">
        <v>194</v>
      </c>
    </row>
    <row r="3" ht="22.5" customHeight="1">
      <c r="A3" s="4" t="s">
        <v>198</v>
      </c>
      <c r="B3" s="4" t="s">
        <v>186</v>
      </c>
      <c r="C3" s="4" t="s">
        <v>182</v>
      </c>
      <c r="D3" s="4">
        <v>30.0</v>
      </c>
      <c r="E3" s="4">
        <v>0.0</v>
      </c>
      <c r="F3" s="4">
        <v>0.0</v>
      </c>
      <c r="G3" s="4" t="s">
        <v>185</v>
      </c>
      <c r="H3" s="4" t="s">
        <v>208</v>
      </c>
      <c r="I3" s="4" t="s">
        <v>190</v>
      </c>
      <c r="J3" s="4">
        <v>1.0</v>
      </c>
      <c r="K3" s="4" t="s">
        <v>49</v>
      </c>
      <c r="L3" s="4" t="s">
        <v>212</v>
      </c>
    </row>
    <row r="4" ht="22.5" customHeight="1">
      <c r="A4" s="4" t="s">
        <v>215</v>
      </c>
      <c r="B4" s="4" t="s">
        <v>134</v>
      </c>
      <c r="C4" s="4" t="s">
        <v>217</v>
      </c>
      <c r="D4" s="4">
        <v>120.0</v>
      </c>
      <c r="E4" s="4">
        <v>5.0</v>
      </c>
      <c r="F4" s="4">
        <v>0.0</v>
      </c>
      <c r="G4" s="4" t="s">
        <v>220</v>
      </c>
      <c r="H4" s="4" t="s">
        <v>222</v>
      </c>
      <c r="I4" s="4" t="s">
        <v>190</v>
      </c>
      <c r="J4" s="4">
        <v>1.0</v>
      </c>
      <c r="K4" s="4" t="s">
        <v>49</v>
      </c>
      <c r="L4" s="4" t="s">
        <v>223</v>
      </c>
    </row>
    <row r="5" ht="22.5" customHeight="1">
      <c r="A5" s="4" t="s">
        <v>225</v>
      </c>
      <c r="B5" s="4" t="s">
        <v>227</v>
      </c>
      <c r="C5" s="4" t="s">
        <v>228</v>
      </c>
      <c r="D5" s="4">
        <v>120.0</v>
      </c>
      <c r="E5" s="4">
        <v>5.0</v>
      </c>
      <c r="F5" s="4">
        <v>0.0</v>
      </c>
      <c r="G5" s="4" t="s">
        <v>231</v>
      </c>
      <c r="H5" s="4" t="s">
        <v>232</v>
      </c>
      <c r="I5" s="4" t="s">
        <v>190</v>
      </c>
      <c r="J5" s="4">
        <v>1.0</v>
      </c>
      <c r="K5" s="4" t="s">
        <v>48</v>
      </c>
      <c r="L5" s="4" t="s">
        <v>233</v>
      </c>
    </row>
    <row r="6" ht="22.5" customHeight="1">
      <c r="A6" s="4" t="s">
        <v>235</v>
      </c>
      <c r="B6" s="4" t="s">
        <v>236</v>
      </c>
      <c r="C6" s="4" t="s">
        <v>237</v>
      </c>
      <c r="D6" s="4">
        <v>240.0</v>
      </c>
      <c r="E6" s="4">
        <v>40.0</v>
      </c>
      <c r="F6" s="4">
        <v>5.0</v>
      </c>
      <c r="G6" s="4" t="s">
        <v>214</v>
      </c>
      <c r="H6" s="4" t="s">
        <v>240</v>
      </c>
      <c r="I6" s="4" t="s">
        <v>241</v>
      </c>
      <c r="J6" s="4">
        <v>2.0</v>
      </c>
      <c r="K6" s="4" t="s">
        <v>49</v>
      </c>
      <c r="L6" s="4" t="s">
        <v>242</v>
      </c>
    </row>
    <row r="7" ht="22.5" customHeight="1">
      <c r="A7" s="4" t="s">
        <v>243</v>
      </c>
      <c r="B7" s="4" t="s">
        <v>245</v>
      </c>
      <c r="C7" s="4" t="s">
        <v>237</v>
      </c>
      <c r="D7" s="4">
        <v>120.0</v>
      </c>
      <c r="E7" s="4">
        <v>25.0</v>
      </c>
      <c r="F7" s="4">
        <v>4.0</v>
      </c>
      <c r="G7" s="4" t="s">
        <v>214</v>
      </c>
      <c r="H7" s="4" t="s">
        <v>249</v>
      </c>
      <c r="I7" s="4" t="s">
        <v>241</v>
      </c>
      <c r="J7" s="4">
        <v>1.0</v>
      </c>
      <c r="K7" s="4" t="s">
        <v>49</v>
      </c>
      <c r="L7" s="4" t="s">
        <v>251</v>
      </c>
    </row>
    <row r="8" ht="22.5" customHeight="1">
      <c r="A8" s="4" t="s">
        <v>252</v>
      </c>
      <c r="B8" s="4" t="s">
        <v>254</v>
      </c>
      <c r="C8" s="4" t="s">
        <v>237</v>
      </c>
      <c r="D8" s="4">
        <v>90.0</v>
      </c>
      <c r="E8" s="4">
        <v>30.0</v>
      </c>
      <c r="F8" s="4">
        <v>5.0</v>
      </c>
      <c r="G8" s="4" t="s">
        <v>214</v>
      </c>
      <c r="H8" s="4" t="s">
        <v>240</v>
      </c>
      <c r="I8" s="4" t="s">
        <v>257</v>
      </c>
      <c r="J8" s="4">
        <v>2.0</v>
      </c>
      <c r="K8" s="4" t="s">
        <v>49</v>
      </c>
      <c r="L8" s="4" t="s">
        <v>259</v>
      </c>
    </row>
    <row r="9" ht="22.5" customHeight="1">
      <c r="A9" s="4" t="s">
        <v>260</v>
      </c>
      <c r="B9" s="4" t="s">
        <v>262</v>
      </c>
      <c r="C9" s="4" t="s">
        <v>263</v>
      </c>
      <c r="D9" s="4">
        <v>180.0</v>
      </c>
      <c r="E9" s="4">
        <v>30.0</v>
      </c>
      <c r="F9" s="4">
        <v>6.0</v>
      </c>
      <c r="G9" s="4" t="s">
        <v>264</v>
      </c>
      <c r="H9" s="4" t="s">
        <v>265</v>
      </c>
      <c r="I9" s="4" t="s">
        <v>241</v>
      </c>
      <c r="J9" s="4">
        <v>1.0</v>
      </c>
      <c r="K9" s="4" t="s">
        <v>48</v>
      </c>
      <c r="L9" s="4" t="s">
        <v>267</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21.63"/>
    <col customWidth="1" min="3" max="3" width="17.88"/>
    <col customWidth="1" min="4" max="4" width="16.0"/>
    <col customWidth="1" min="5" max="5" width="14.13"/>
    <col customWidth="1" min="6" max="6" width="19.25"/>
    <col customWidth="1" min="7" max="7" width="16.75"/>
    <col customWidth="1" min="8" max="8" width="16.25"/>
    <col customWidth="1" min="9" max="9" width="18.88"/>
    <col customWidth="1" min="10" max="10" width="13.5"/>
    <col customWidth="1" min="11" max="11" width="30.88"/>
  </cols>
  <sheetData>
    <row r="1" ht="22.5" customHeight="1">
      <c r="A1" s="2" t="s">
        <v>187</v>
      </c>
      <c r="B1" s="2" t="s">
        <v>4</v>
      </c>
      <c r="C1" s="2" t="s">
        <v>191</v>
      </c>
      <c r="D1" s="2" t="s">
        <v>192</v>
      </c>
      <c r="E1" s="2" t="s">
        <v>193</v>
      </c>
      <c r="F1" s="2" t="s">
        <v>195</v>
      </c>
      <c r="G1" s="2" t="s">
        <v>196</v>
      </c>
      <c r="H1" s="2" t="s">
        <v>199</v>
      </c>
      <c r="I1" s="2" t="s">
        <v>200</v>
      </c>
      <c r="J1" s="2" t="s">
        <v>201</v>
      </c>
      <c r="K1" s="2" t="s">
        <v>24</v>
      </c>
    </row>
    <row r="2" ht="22.5" customHeight="1">
      <c r="A2" s="4" t="s">
        <v>203</v>
      </c>
      <c r="B2" s="4" t="s">
        <v>204</v>
      </c>
      <c r="C2" s="4" t="s">
        <v>205</v>
      </c>
      <c r="D2" s="4" t="s">
        <v>207</v>
      </c>
      <c r="E2" s="4">
        <v>5.0</v>
      </c>
      <c r="F2" s="4" t="b">
        <v>1</v>
      </c>
      <c r="G2" s="4" t="b">
        <v>1</v>
      </c>
      <c r="H2" s="4" t="b">
        <v>1</v>
      </c>
      <c r="I2" s="4" t="b">
        <v>1</v>
      </c>
      <c r="J2" s="4" t="b">
        <v>1</v>
      </c>
      <c r="K2" s="4" t="s">
        <v>209</v>
      </c>
    </row>
    <row r="3" ht="22.5" customHeight="1">
      <c r="A3" s="4" t="s">
        <v>210</v>
      </c>
      <c r="B3" s="4" t="s">
        <v>213</v>
      </c>
      <c r="C3" s="4" t="s">
        <v>214</v>
      </c>
      <c r="D3" s="4" t="s">
        <v>207</v>
      </c>
      <c r="E3" s="4">
        <v>2.0</v>
      </c>
      <c r="F3" s="4" t="b">
        <v>0</v>
      </c>
      <c r="G3" s="4" t="b">
        <v>0</v>
      </c>
      <c r="H3" s="4" t="b">
        <v>0</v>
      </c>
      <c r="I3" s="4" t="b">
        <v>0</v>
      </c>
      <c r="J3" s="4" t="b">
        <v>1</v>
      </c>
      <c r="K3" s="4" t="s">
        <v>218</v>
      </c>
    </row>
    <row r="4" ht="22.5" customHeight="1">
      <c r="A4" s="4" t="s">
        <v>219</v>
      </c>
      <c r="B4" s="4" t="s">
        <v>221</v>
      </c>
      <c r="C4" s="4" t="s">
        <v>220</v>
      </c>
      <c r="D4" s="4" t="s">
        <v>207</v>
      </c>
      <c r="E4" s="4">
        <v>4.0</v>
      </c>
      <c r="F4" s="4" t="b">
        <v>1</v>
      </c>
      <c r="G4" s="4" t="b">
        <v>1</v>
      </c>
      <c r="H4" s="4" t="b">
        <v>1</v>
      </c>
      <c r="I4" s="4" t="b">
        <v>0</v>
      </c>
      <c r="J4" s="4" t="b">
        <v>1</v>
      </c>
      <c r="K4" s="4" t="s">
        <v>226</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29.25"/>
    <col customWidth="1" min="3" max="3" width="13.5"/>
    <col customWidth="1" min="6" max="6" width="24.25"/>
    <col customWidth="1" min="7" max="7" width="24.88"/>
    <col customWidth="1" min="8" max="8" width="13.13"/>
    <col customWidth="1" min="9" max="9" width="24.0"/>
    <col customWidth="1" min="10" max="10" width="37.63"/>
  </cols>
  <sheetData>
    <row r="1" ht="22.5" customHeight="1">
      <c r="A1" s="2" t="s">
        <v>269</v>
      </c>
      <c r="B1" s="2" t="s">
        <v>4</v>
      </c>
      <c r="C1" s="2" t="s">
        <v>271</v>
      </c>
      <c r="D1" s="2" t="s">
        <v>272</v>
      </c>
      <c r="E1" s="2" t="s">
        <v>273</v>
      </c>
      <c r="F1" s="2" t="s">
        <v>275</v>
      </c>
      <c r="G1" s="2" t="s">
        <v>276</v>
      </c>
      <c r="H1" s="2" t="s">
        <v>277</v>
      </c>
      <c r="I1" s="2" t="s">
        <v>278</v>
      </c>
      <c r="J1" s="2" t="s">
        <v>280</v>
      </c>
    </row>
    <row r="2" ht="22.5" customHeight="1">
      <c r="A2" s="4" t="s">
        <v>281</v>
      </c>
      <c r="B2" s="4" t="s">
        <v>282</v>
      </c>
      <c r="C2" s="4" t="s">
        <v>283</v>
      </c>
      <c r="D2" s="4">
        <v>3.0</v>
      </c>
      <c r="E2" s="4" t="s">
        <v>284</v>
      </c>
      <c r="F2" s="4">
        <v>0.0</v>
      </c>
      <c r="G2" s="4">
        <v>720.0</v>
      </c>
      <c r="H2" s="4">
        <v>0.0</v>
      </c>
      <c r="J2" s="4" t="s">
        <v>285</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2" max="2" width="18.0"/>
    <col customWidth="1" min="3" max="3" width="21.38"/>
    <col customWidth="1" min="4" max="5" width="18.88"/>
    <col customWidth="1" min="6" max="6" width="18.0"/>
    <col customWidth="1" min="7" max="7" width="15.13"/>
    <col customWidth="1" min="9" max="9" width="24.88"/>
    <col customWidth="1" min="10" max="10" width="22.13"/>
    <col customWidth="1" min="11" max="11" width="21.63"/>
    <col customWidth="1" min="12" max="12" width="15.5"/>
  </cols>
  <sheetData>
    <row r="1" ht="22.5" customHeight="1">
      <c r="A1" s="2" t="s">
        <v>290</v>
      </c>
      <c r="B1" s="2" t="s">
        <v>269</v>
      </c>
      <c r="C1" s="2" t="s">
        <v>4</v>
      </c>
      <c r="D1" s="2" t="s">
        <v>291</v>
      </c>
      <c r="E1" s="2" t="s">
        <v>293</v>
      </c>
      <c r="F1" s="2" t="s">
        <v>294</v>
      </c>
      <c r="G1" s="2" t="s">
        <v>295</v>
      </c>
      <c r="H1" s="2" t="s">
        <v>273</v>
      </c>
      <c r="I1" s="2" t="s">
        <v>276</v>
      </c>
      <c r="J1" s="2" t="s">
        <v>297</v>
      </c>
      <c r="K1" s="2" t="s">
        <v>299</v>
      </c>
      <c r="L1" s="2" t="s">
        <v>24</v>
      </c>
    </row>
    <row r="2" ht="22.5" customHeight="1">
      <c r="A2" s="4" t="s">
        <v>301</v>
      </c>
      <c r="B2" s="4" t="s">
        <v>281</v>
      </c>
      <c r="C2" s="4" t="s">
        <v>302</v>
      </c>
      <c r="D2" s="4" t="s">
        <v>303</v>
      </c>
      <c r="E2" s="4">
        <v>100.0</v>
      </c>
      <c r="F2" s="4">
        <v>0.0</v>
      </c>
      <c r="G2" s="4" t="b">
        <v>1</v>
      </c>
      <c r="H2" s="4" t="s">
        <v>304</v>
      </c>
      <c r="I2" s="4">
        <v>720.0</v>
      </c>
      <c r="J2" s="4" t="s">
        <v>306</v>
      </c>
      <c r="K2" s="4" t="s">
        <v>307</v>
      </c>
      <c r="L2" s="4" t="s">
        <v>308</v>
      </c>
    </row>
    <row r="3" ht="22.5" customHeight="1">
      <c r="A3" s="4" t="s">
        <v>309</v>
      </c>
      <c r="B3" s="4" t="s">
        <v>281</v>
      </c>
      <c r="C3" s="4" t="s">
        <v>311</v>
      </c>
      <c r="D3" s="4" t="s">
        <v>312</v>
      </c>
      <c r="E3" s="4">
        <v>100.0</v>
      </c>
      <c r="F3" s="4">
        <v>0.0</v>
      </c>
      <c r="G3" s="4" t="b">
        <v>0</v>
      </c>
      <c r="H3" s="4" t="s">
        <v>304</v>
      </c>
      <c r="I3" s="4">
        <v>720.0</v>
      </c>
      <c r="J3" s="4" t="s">
        <v>314</v>
      </c>
      <c r="K3" s="4" t="s">
        <v>315</v>
      </c>
      <c r="L3" s="4" t="s">
        <v>316</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2" max="2" width="21.63"/>
    <col customWidth="1" min="3" max="3" width="18.0"/>
    <col customWidth="1" min="4" max="4" width="21.88"/>
    <col customWidth="1" min="5" max="5" width="25.25"/>
    <col customWidth="1" min="6" max="6" width="24.13"/>
    <col customWidth="1" min="9" max="9" width="24.25"/>
    <col customWidth="1" min="10" max="10" width="24.88"/>
    <col customWidth="1" min="11" max="11" width="16.0"/>
    <col customWidth="1" min="12" max="12" width="18.0"/>
    <col customWidth="1" min="13" max="13" width="23.0"/>
    <col customWidth="1" min="14" max="14" width="21.25"/>
    <col customWidth="1" min="15" max="15" width="19.0"/>
  </cols>
  <sheetData>
    <row r="1" ht="22.5" customHeight="1">
      <c r="A1" s="2" t="s">
        <v>332</v>
      </c>
      <c r="B1" s="2" t="s">
        <v>165</v>
      </c>
      <c r="C1" s="2" t="s">
        <v>269</v>
      </c>
      <c r="D1" s="2" t="s">
        <v>290</v>
      </c>
      <c r="E1" s="2" t="s">
        <v>187</v>
      </c>
      <c r="F1" s="2" t="s">
        <v>4</v>
      </c>
      <c r="G1" s="2" t="s">
        <v>334</v>
      </c>
      <c r="H1" s="2" t="s">
        <v>272</v>
      </c>
      <c r="I1" s="2" t="s">
        <v>275</v>
      </c>
      <c r="J1" s="2" t="s">
        <v>276</v>
      </c>
      <c r="K1" s="2" t="s">
        <v>336</v>
      </c>
      <c r="L1" s="2" t="s">
        <v>294</v>
      </c>
      <c r="M1" s="2" t="s">
        <v>337</v>
      </c>
      <c r="N1" s="2" t="s">
        <v>338</v>
      </c>
      <c r="O1" s="2" t="s">
        <v>24</v>
      </c>
    </row>
    <row r="2" ht="22.5" customHeight="1">
      <c r="A2" s="4" t="s">
        <v>340</v>
      </c>
      <c r="B2" s="4" t="s">
        <v>235</v>
      </c>
      <c r="C2" s="4" t="s">
        <v>281</v>
      </c>
      <c r="D2" s="4" t="s">
        <v>301</v>
      </c>
      <c r="E2" s="4" t="s">
        <v>210</v>
      </c>
      <c r="F2" s="4" t="s">
        <v>343</v>
      </c>
      <c r="G2" s="4" t="s">
        <v>304</v>
      </c>
      <c r="H2" s="4">
        <v>3.0</v>
      </c>
      <c r="I2" s="4">
        <v>0.0</v>
      </c>
      <c r="J2" s="4">
        <v>720.0</v>
      </c>
      <c r="K2" s="4">
        <v>240.0</v>
      </c>
      <c r="L2" s="4">
        <v>0.0</v>
      </c>
      <c r="M2" s="4">
        <v>0.0</v>
      </c>
      <c r="O2" s="4" t="s">
        <v>344</v>
      </c>
    </row>
    <row r="3" ht="22.5" customHeight="1">
      <c r="A3" s="4" t="s">
        <v>345</v>
      </c>
      <c r="B3" s="4" t="s">
        <v>252</v>
      </c>
      <c r="C3" s="4" t="s">
        <v>281</v>
      </c>
      <c r="D3" s="4" t="s">
        <v>309</v>
      </c>
      <c r="E3" s="4" t="s">
        <v>210</v>
      </c>
      <c r="F3" s="4" t="s">
        <v>311</v>
      </c>
      <c r="G3" s="4" t="s">
        <v>304</v>
      </c>
      <c r="H3" s="4">
        <v>2.0</v>
      </c>
      <c r="I3" s="4">
        <v>0.0</v>
      </c>
      <c r="J3" s="4">
        <v>720.0</v>
      </c>
      <c r="K3" s="4">
        <v>90.0</v>
      </c>
      <c r="L3" s="4">
        <v>0.0</v>
      </c>
      <c r="M3" s="4">
        <v>0.0</v>
      </c>
      <c r="N3" s="4" t="s">
        <v>349</v>
      </c>
      <c r="O3" s="4" t="s">
        <v>350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12.75"/>
    <col customWidth="1" min="3" max="3" width="24.75"/>
    <col customWidth="1" min="4" max="4" width="18.75"/>
    <col customWidth="1" min="5" max="5" width="21.63"/>
    <col customWidth="1" min="6" max="6" width="25.38"/>
    <col customWidth="1" min="7" max="7" width="22.13"/>
    <col customWidth="1" min="8" max="8" width="21.38"/>
    <col customWidth="1" min="9" max="9" width="22.0"/>
    <col customWidth="1" min="10" max="10" width="16.75"/>
    <col customWidth="1" min="11" max="11" width="19.75"/>
  </cols>
  <sheetData>
    <row r="1" ht="22.5" customHeight="1">
      <c r="A1" s="2" t="s">
        <v>352</v>
      </c>
      <c r="B1" s="2" t="s">
        <v>3</v>
      </c>
      <c r="C1" s="2" t="s">
        <v>332</v>
      </c>
      <c r="D1" s="2" t="s">
        <v>353</v>
      </c>
      <c r="E1" s="2" t="s">
        <v>354</v>
      </c>
      <c r="F1" s="2" t="s">
        <v>355</v>
      </c>
      <c r="G1" s="2" t="s">
        <v>356</v>
      </c>
      <c r="H1" s="2" t="s">
        <v>357</v>
      </c>
      <c r="I1" s="2" t="s">
        <v>358</v>
      </c>
      <c r="J1" s="2" t="s">
        <v>359</v>
      </c>
      <c r="K1" s="2" t="s">
        <v>24</v>
      </c>
    </row>
    <row r="2" ht="22.5" customHeight="1">
      <c r="A2" s="4" t="s">
        <v>360</v>
      </c>
      <c r="B2" s="4">
        <v>3.0</v>
      </c>
      <c r="C2" s="4" t="s">
        <v>340</v>
      </c>
      <c r="D2" s="4" t="s">
        <v>304</v>
      </c>
      <c r="E2" s="4" t="s">
        <v>361</v>
      </c>
      <c r="F2" s="4">
        <v>0.0</v>
      </c>
      <c r="I2" s="4">
        <v>40.0</v>
      </c>
      <c r="K2" s="4" t="s">
        <v>362</v>
      </c>
    </row>
    <row r="3" ht="22.5" customHeight="1">
      <c r="A3" s="4" t="s">
        <v>363</v>
      </c>
      <c r="B3" s="4">
        <v>2.0</v>
      </c>
      <c r="C3" s="4" t="s">
        <v>340</v>
      </c>
      <c r="D3" s="4" t="s">
        <v>304</v>
      </c>
      <c r="E3" s="4" t="s">
        <v>364</v>
      </c>
      <c r="F3" s="4">
        <v>0.0</v>
      </c>
      <c r="I3" s="4">
        <v>35.0</v>
      </c>
      <c r="K3" s="4" t="s">
        <v>362</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2.38"/>
    <col customWidth="1" min="3" max="3" width="16.0"/>
    <col customWidth="1" min="4" max="4" width="18.0"/>
    <col customWidth="1" min="5" max="5" width="26.38"/>
    <col customWidth="1" min="6" max="6" width="25.25"/>
    <col customWidth="1" min="7" max="7" width="15.88"/>
    <col customWidth="1" min="9" max="9" width="16.0"/>
    <col customWidth="1" min="10" max="10" width="18.5"/>
    <col customWidth="1" min="11" max="11" width="23.13"/>
  </cols>
  <sheetData>
    <row r="1" ht="22.5" customHeight="1">
      <c r="A1" s="2" t="s">
        <v>365</v>
      </c>
      <c r="B1" s="2" t="s">
        <v>4</v>
      </c>
      <c r="C1" s="2" t="s">
        <v>366</v>
      </c>
      <c r="D1" s="2" t="s">
        <v>367</v>
      </c>
      <c r="E1" s="2" t="s">
        <v>368</v>
      </c>
      <c r="F1" s="2" t="s">
        <v>369</v>
      </c>
      <c r="G1" s="2" t="s">
        <v>370</v>
      </c>
      <c r="H1" s="2" t="s">
        <v>371</v>
      </c>
      <c r="I1" s="2" t="s">
        <v>372</v>
      </c>
      <c r="J1" s="2" t="s">
        <v>373</v>
      </c>
      <c r="K1" s="2" t="s">
        <v>24</v>
      </c>
    </row>
    <row r="2" ht="22.5" customHeight="1">
      <c r="A2" s="4" t="s">
        <v>349</v>
      </c>
      <c r="B2" s="4" t="s">
        <v>374</v>
      </c>
      <c r="C2" s="4" t="s">
        <v>375</v>
      </c>
      <c r="D2" s="4" t="s">
        <v>281</v>
      </c>
      <c r="E2" s="4" t="s">
        <v>345</v>
      </c>
      <c r="F2" s="4" t="s">
        <v>210</v>
      </c>
      <c r="G2" s="4" t="s">
        <v>376</v>
      </c>
      <c r="H2" s="4" t="s">
        <v>377</v>
      </c>
      <c r="I2" s="4" t="s">
        <v>378</v>
      </c>
      <c r="J2" s="4" t="s">
        <v>283</v>
      </c>
      <c r="K2" s="4" t="s">
        <v>379</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15.75"/>
    <col customWidth="1" min="3" max="3" width="78.38"/>
    <col customWidth="1" min="4" max="4" width="14.38"/>
    <col customWidth="1" min="5" max="5" width="13.0"/>
    <col customWidth="1" min="6" max="6" width="11.13"/>
    <col customWidth="1" min="7" max="7" width="63.0"/>
    <col customWidth="1" min="8" max="8" width="32.75"/>
    <col customWidth="1" min="9" max="9" width="29.75"/>
    <col customWidth="1" min="10" max="10" width="26.5"/>
  </cols>
  <sheetData>
    <row r="1" ht="22.5" customHeight="1">
      <c r="A1" s="2" t="s">
        <v>381</v>
      </c>
      <c r="B1" s="2" t="s">
        <v>382</v>
      </c>
      <c r="C1" s="2" t="s">
        <v>383</v>
      </c>
      <c r="D1" s="2" t="s">
        <v>386</v>
      </c>
      <c r="E1" s="2" t="s">
        <v>388</v>
      </c>
      <c r="F1" s="2" t="s">
        <v>273</v>
      </c>
      <c r="G1" s="2" t="s">
        <v>389</v>
      </c>
      <c r="H1" s="2" t="s">
        <v>390</v>
      </c>
      <c r="I1" s="2" t="s">
        <v>391</v>
      </c>
      <c r="J1" s="2" t="s">
        <v>392</v>
      </c>
      <c r="K1" s="2" t="s">
        <v>24</v>
      </c>
    </row>
    <row r="2" ht="22.5" customHeight="1">
      <c r="A2" s="4" t="s">
        <v>394</v>
      </c>
      <c r="B2" s="4" t="s">
        <v>395</v>
      </c>
      <c r="C2" s="4" t="s">
        <v>397</v>
      </c>
      <c r="D2" s="4" t="s">
        <v>398</v>
      </c>
      <c r="F2" s="4" t="s">
        <v>284</v>
      </c>
      <c r="G2" s="4" t="s">
        <v>399</v>
      </c>
      <c r="I2" s="4" t="s">
        <v>400</v>
      </c>
      <c r="J2" s="4" t="s">
        <v>401</v>
      </c>
    </row>
    <row r="3" ht="22.5" customHeight="1">
      <c r="A3" s="4" t="s">
        <v>403</v>
      </c>
      <c r="B3" s="4" t="s">
        <v>404</v>
      </c>
      <c r="C3" s="4" t="s">
        <v>405</v>
      </c>
      <c r="D3" s="4" t="s">
        <v>406</v>
      </c>
      <c r="F3" s="4" t="s">
        <v>284</v>
      </c>
      <c r="G3" s="4" t="s">
        <v>399</v>
      </c>
      <c r="I3" s="4" t="s">
        <v>400</v>
      </c>
      <c r="J3" s="4" t="s">
        <v>408</v>
      </c>
    </row>
    <row r="4" ht="22.5" customHeight="1">
      <c r="A4" s="4" t="s">
        <v>409</v>
      </c>
      <c r="B4" s="4" t="s">
        <v>410</v>
      </c>
      <c r="C4" s="4" t="s">
        <v>411</v>
      </c>
      <c r="D4" s="4" t="s">
        <v>412</v>
      </c>
      <c r="F4" s="4" t="s">
        <v>284</v>
      </c>
      <c r="G4" s="4" t="s">
        <v>399</v>
      </c>
      <c r="I4" s="4" t="s">
        <v>400</v>
      </c>
      <c r="J4" s="4" t="s">
        <v>413</v>
      </c>
    </row>
    <row r="5" ht="22.5" customHeight="1">
      <c r="A5" s="4" t="s">
        <v>414</v>
      </c>
      <c r="B5" s="4" t="s">
        <v>415</v>
      </c>
      <c r="C5" s="4" t="s">
        <v>416</v>
      </c>
      <c r="D5" s="4" t="s">
        <v>418</v>
      </c>
      <c r="F5" s="4" t="s">
        <v>284</v>
      </c>
      <c r="G5" s="4" t="s">
        <v>399</v>
      </c>
      <c r="I5" s="4" t="s">
        <v>420</v>
      </c>
      <c r="J5" s="4" t="s">
        <v>421</v>
      </c>
    </row>
    <row r="6" ht="22.5" customHeight="1">
      <c r="A6" s="4" t="s">
        <v>423</v>
      </c>
      <c r="B6" s="4" t="s">
        <v>424</v>
      </c>
      <c r="C6" s="4" t="s">
        <v>425</v>
      </c>
      <c r="D6" s="4" t="s">
        <v>426</v>
      </c>
      <c r="F6" s="4" t="s">
        <v>284</v>
      </c>
      <c r="G6" s="4" t="s">
        <v>399</v>
      </c>
      <c r="I6" s="4" t="s">
        <v>428</v>
      </c>
      <c r="J6" s="4" t="s">
        <v>429</v>
      </c>
    </row>
    <row r="7" ht="22.5" customHeight="1">
      <c r="A7" s="4" t="s">
        <v>430</v>
      </c>
      <c r="B7" s="4" t="s">
        <v>431</v>
      </c>
      <c r="C7" s="4" t="s">
        <v>432</v>
      </c>
      <c r="D7" s="4" t="s">
        <v>433</v>
      </c>
      <c r="F7" s="4" t="s">
        <v>284</v>
      </c>
      <c r="G7" s="4" t="s">
        <v>399</v>
      </c>
      <c r="I7" s="4" t="s">
        <v>434</v>
      </c>
      <c r="J7" s="4" t="s">
        <v>437</v>
      </c>
    </row>
    <row r="9" ht="22.5" customHeight="1">
      <c r="A9" s="24" t="s">
        <v>381</v>
      </c>
      <c r="B9" s="24" t="s">
        <v>382</v>
      </c>
      <c r="C9" s="24" t="s">
        <v>383</v>
      </c>
      <c r="D9" s="24" t="s">
        <v>388</v>
      </c>
      <c r="E9" s="24" t="s">
        <v>273</v>
      </c>
      <c r="F9" s="24" t="s">
        <v>389</v>
      </c>
      <c r="G9" s="24" t="s">
        <v>391</v>
      </c>
      <c r="H9" s="24" t="s">
        <v>440</v>
      </c>
      <c r="I9" s="25" t="s">
        <v>441</v>
      </c>
      <c r="J9" s="25" t="s">
        <v>442</v>
      </c>
      <c r="K9" s="25" t="s">
        <v>443</v>
      </c>
      <c r="L9" s="25" t="s">
        <v>444</v>
      </c>
      <c r="M9" s="25" t="s">
        <v>445</v>
      </c>
      <c r="N9" s="25" t="s">
        <v>446</v>
      </c>
      <c r="O9" s="25" t="s">
        <v>447</v>
      </c>
      <c r="P9" s="25" t="s">
        <v>449</v>
      </c>
      <c r="Q9" s="25" t="s">
        <v>451</v>
      </c>
      <c r="R9" s="25" t="s">
        <v>452</v>
      </c>
      <c r="S9" s="25" t="s">
        <v>453</v>
      </c>
      <c r="T9" s="25" t="s">
        <v>454</v>
      </c>
      <c r="U9" s="25" t="s">
        <v>455</v>
      </c>
      <c r="V9" s="25" t="s">
        <v>457</v>
      </c>
      <c r="W9" s="25" t="s">
        <v>458</v>
      </c>
      <c r="X9" s="25" t="s">
        <v>459</v>
      </c>
      <c r="Y9" s="25" t="s">
        <v>460</v>
      </c>
      <c r="Z9" s="25" t="s">
        <v>461</v>
      </c>
    </row>
    <row r="10" ht="22.5" customHeight="1">
      <c r="A10" s="27" t="s">
        <v>463</v>
      </c>
      <c r="B10" s="27" t="s">
        <v>36</v>
      </c>
      <c r="C10" s="27" t="s">
        <v>464</v>
      </c>
      <c r="D10" s="27" t="s">
        <v>465</v>
      </c>
      <c r="E10" s="27" t="s">
        <v>466</v>
      </c>
      <c r="F10" s="27" t="s">
        <v>469</v>
      </c>
      <c r="G10" s="27" t="s">
        <v>470</v>
      </c>
      <c r="H10" s="27" t="s">
        <v>471</v>
      </c>
    </row>
    <row r="11" ht="22.5" customHeight="1">
      <c r="A11" s="27" t="s">
        <v>473</v>
      </c>
      <c r="B11" s="27" t="s">
        <v>36</v>
      </c>
      <c r="C11" s="27" t="s">
        <v>474</v>
      </c>
      <c r="D11" s="27" t="s">
        <v>465</v>
      </c>
      <c r="E11" s="27" t="s">
        <v>466</v>
      </c>
      <c r="F11" s="27" t="s">
        <v>469</v>
      </c>
      <c r="G11" s="27" t="s">
        <v>476</v>
      </c>
      <c r="H11" s="27" t="s">
        <v>471</v>
      </c>
    </row>
    <row r="12" ht="22.5" customHeight="1">
      <c r="A12" s="27" t="s">
        <v>479</v>
      </c>
      <c r="B12" s="27" t="s">
        <v>60</v>
      </c>
      <c r="C12" s="27" t="s">
        <v>480</v>
      </c>
      <c r="D12" s="27" t="s">
        <v>465</v>
      </c>
      <c r="E12" s="27" t="s">
        <v>466</v>
      </c>
      <c r="F12" s="27" t="s">
        <v>469</v>
      </c>
      <c r="G12" s="27" t="s">
        <v>482</v>
      </c>
      <c r="H12" s="27" t="s">
        <v>471</v>
      </c>
    </row>
    <row r="13" ht="22.5" customHeight="1">
      <c r="A13" s="27" t="s">
        <v>484</v>
      </c>
      <c r="B13" s="27" t="s">
        <v>485</v>
      </c>
      <c r="C13" s="27" t="s">
        <v>486</v>
      </c>
      <c r="D13" s="27" t="s">
        <v>465</v>
      </c>
      <c r="E13" s="27" t="s">
        <v>466</v>
      </c>
      <c r="F13" s="27" t="s">
        <v>469</v>
      </c>
      <c r="G13" s="27" t="s">
        <v>487</v>
      </c>
      <c r="H13" s="27" t="s">
        <v>471</v>
      </c>
    </row>
    <row r="14" ht="22.5" customHeight="1">
      <c r="A14" s="27" t="s">
        <v>490</v>
      </c>
      <c r="B14" s="27" t="s">
        <v>74</v>
      </c>
      <c r="C14" s="27" t="s">
        <v>491</v>
      </c>
      <c r="D14" s="27" t="s">
        <v>465</v>
      </c>
      <c r="E14" s="27" t="s">
        <v>466</v>
      </c>
      <c r="F14" s="27" t="s">
        <v>469</v>
      </c>
      <c r="G14" s="27" t="s">
        <v>493</v>
      </c>
      <c r="H14" s="27" t="s">
        <v>471</v>
      </c>
    </row>
    <row r="15" ht="22.5" customHeight="1">
      <c r="A15" s="27" t="s">
        <v>495</v>
      </c>
      <c r="B15" s="27" t="s">
        <v>88</v>
      </c>
      <c r="C15" s="27" t="s">
        <v>496</v>
      </c>
      <c r="D15" s="27" t="s">
        <v>465</v>
      </c>
      <c r="E15" s="27" t="s">
        <v>466</v>
      </c>
      <c r="F15" s="27" t="s">
        <v>469</v>
      </c>
      <c r="G15" s="27" t="s">
        <v>497</v>
      </c>
      <c r="H15" s="27" t="s">
        <v>471</v>
      </c>
    </row>
    <row r="16" ht="22.5" customHeight="1">
      <c r="A16" s="27" t="s">
        <v>500</v>
      </c>
      <c r="B16" s="27" t="s">
        <v>104</v>
      </c>
      <c r="C16" s="27" t="s">
        <v>501</v>
      </c>
      <c r="D16" s="27" t="s">
        <v>465</v>
      </c>
      <c r="E16" s="27" t="s">
        <v>466</v>
      </c>
      <c r="F16" s="27" t="s">
        <v>469</v>
      </c>
      <c r="G16" s="27" t="s">
        <v>503</v>
      </c>
      <c r="H16" s="27" t="s">
        <v>471</v>
      </c>
    </row>
    <row r="17" ht="22.5" customHeight="1">
      <c r="A17" s="27" t="s">
        <v>505</v>
      </c>
      <c r="B17" s="27" t="s">
        <v>104</v>
      </c>
      <c r="C17" s="27" t="s">
        <v>506</v>
      </c>
      <c r="D17" s="27" t="s">
        <v>465</v>
      </c>
      <c r="E17" s="27" t="s">
        <v>466</v>
      </c>
      <c r="F17" s="27" t="s">
        <v>469</v>
      </c>
      <c r="G17" s="27" t="s">
        <v>507</v>
      </c>
      <c r="H17" s="27" t="s">
        <v>508</v>
      </c>
    </row>
    <row r="18" ht="22.5" customHeight="1">
      <c r="A18" s="27" t="s">
        <v>511</v>
      </c>
      <c r="B18" s="27" t="s">
        <v>37</v>
      </c>
      <c r="C18" s="27" t="s">
        <v>512</v>
      </c>
      <c r="D18" s="27" t="s">
        <v>465</v>
      </c>
      <c r="E18" s="27" t="s">
        <v>466</v>
      </c>
      <c r="F18" s="27" t="s">
        <v>469</v>
      </c>
      <c r="G18" s="27" t="s">
        <v>514</v>
      </c>
      <c r="H18" s="27" t="s">
        <v>471</v>
      </c>
    </row>
    <row r="19" ht="22.5" customHeight="1">
      <c r="A19" s="27" t="s">
        <v>516</v>
      </c>
      <c r="B19" s="27" t="s">
        <v>517</v>
      </c>
      <c r="C19" s="27" t="s">
        <v>518</v>
      </c>
      <c r="D19" s="27" t="s">
        <v>465</v>
      </c>
      <c r="E19" s="27" t="s">
        <v>466</v>
      </c>
      <c r="F19" s="27" t="s">
        <v>469</v>
      </c>
      <c r="G19" s="27" t="s">
        <v>521</v>
      </c>
      <c r="H19" s="27" t="s">
        <v>471</v>
      </c>
    </row>
    <row r="20" ht="22.5" customHeight="1">
      <c r="A20" s="27" t="s">
        <v>522</v>
      </c>
      <c r="B20" s="27" t="s">
        <v>524</v>
      </c>
      <c r="C20" s="27" t="s">
        <v>525</v>
      </c>
      <c r="D20" s="27" t="s">
        <v>465</v>
      </c>
      <c r="E20" s="27" t="s">
        <v>466</v>
      </c>
      <c r="F20" s="27" t="s">
        <v>469</v>
      </c>
      <c r="G20" s="27" t="s">
        <v>527</v>
      </c>
      <c r="H20" s="27" t="s">
        <v>471</v>
      </c>
    </row>
    <row r="21" ht="22.5" customHeight="1">
      <c r="A21" s="27" t="s">
        <v>528</v>
      </c>
      <c r="B21" s="27" t="s">
        <v>529</v>
      </c>
      <c r="C21" s="27" t="s">
        <v>530</v>
      </c>
      <c r="D21" s="27" t="s">
        <v>465</v>
      </c>
      <c r="E21" s="27" t="s">
        <v>466</v>
      </c>
      <c r="F21" s="27" t="s">
        <v>469</v>
      </c>
      <c r="G21" s="27" t="s">
        <v>533</v>
      </c>
      <c r="H21" s="27" t="s">
        <v>471</v>
      </c>
    </row>
    <row r="22" ht="22.5" customHeight="1">
      <c r="A22" s="27" t="s">
        <v>535</v>
      </c>
      <c r="B22" s="27" t="s">
        <v>536</v>
      </c>
      <c r="C22" s="27" t="s">
        <v>537</v>
      </c>
      <c r="D22" s="27" t="s">
        <v>465</v>
      </c>
      <c r="E22" s="27" t="s">
        <v>466</v>
      </c>
      <c r="F22" s="27" t="s">
        <v>469</v>
      </c>
      <c r="G22" s="27" t="s">
        <v>539</v>
      </c>
      <c r="H22" s="27" t="s">
        <v>540</v>
      </c>
    </row>
    <row r="23" ht="22.5" customHeight="1">
      <c r="A23" s="27" t="s">
        <v>541</v>
      </c>
      <c r="B23" s="27" t="s">
        <v>536</v>
      </c>
      <c r="C23" s="27" t="s">
        <v>542</v>
      </c>
      <c r="D23" s="27" t="s">
        <v>465</v>
      </c>
      <c r="E23" s="27" t="s">
        <v>466</v>
      </c>
      <c r="F23" s="27" t="s">
        <v>469</v>
      </c>
      <c r="G23" s="27" t="s">
        <v>545</v>
      </c>
      <c r="H23" s="27" t="s">
        <v>540</v>
      </c>
    </row>
    <row r="24" ht="22.5" customHeight="1">
      <c r="A24" s="27" t="s">
        <v>547</v>
      </c>
      <c r="B24" s="27" t="s">
        <v>536</v>
      </c>
      <c r="C24" s="27" t="s">
        <v>549</v>
      </c>
      <c r="D24" s="27" t="s">
        <v>465</v>
      </c>
      <c r="E24" s="27" t="s">
        <v>466</v>
      </c>
      <c r="F24" s="27" t="s">
        <v>469</v>
      </c>
      <c r="G24" s="27" t="s">
        <v>550</v>
      </c>
      <c r="H24" s="27" t="s">
        <v>551</v>
      </c>
    </row>
  </sheetData>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48.88"/>
    <col customWidth="1" min="3" max="3" width="2.63"/>
    <col customWidth="1" min="4" max="4" width="51.0"/>
    <col customWidth="1" min="5" max="5" width="2.63"/>
  </cols>
  <sheetData>
    <row r="1" ht="56.25" customHeight="1">
      <c r="A1" s="15" t="s">
        <v>380</v>
      </c>
      <c r="B1" s="15" t="s">
        <v>384</v>
      </c>
      <c r="C1" s="16" t="s">
        <v>385</v>
      </c>
      <c r="D1" s="15" t="s">
        <v>387</v>
      </c>
      <c r="E1" s="17"/>
      <c r="F1" s="17"/>
      <c r="G1" s="17"/>
      <c r="H1" s="17"/>
      <c r="I1" s="17"/>
      <c r="J1" s="17"/>
      <c r="K1" s="17"/>
      <c r="L1" s="17"/>
      <c r="M1" s="17"/>
      <c r="N1" s="17"/>
      <c r="O1" s="17"/>
      <c r="P1" s="17"/>
      <c r="Q1" s="17"/>
      <c r="R1" s="17"/>
      <c r="S1" s="17"/>
      <c r="T1" s="17"/>
      <c r="U1" s="17"/>
      <c r="V1" s="17"/>
      <c r="W1" s="17"/>
      <c r="X1" s="17"/>
      <c r="Y1" s="17"/>
      <c r="Z1" s="17"/>
      <c r="AA1" s="17"/>
      <c r="AB1" s="17"/>
    </row>
    <row r="2" ht="56.25" customHeight="1">
      <c r="A2" s="15">
        <v>1.0</v>
      </c>
      <c r="B2" s="18" t="s">
        <v>393</v>
      </c>
      <c r="C2" s="19"/>
      <c r="D2" s="20" t="s">
        <v>396</v>
      </c>
      <c r="E2" s="17"/>
      <c r="F2" s="21"/>
      <c r="G2" s="21"/>
      <c r="H2" s="21"/>
      <c r="I2" s="21"/>
      <c r="J2" s="21"/>
      <c r="K2" s="21"/>
      <c r="L2" s="21"/>
      <c r="M2" s="21"/>
      <c r="N2" s="17"/>
      <c r="O2" s="17"/>
      <c r="P2" s="17"/>
      <c r="Q2" s="17"/>
      <c r="R2" s="17"/>
      <c r="S2" s="17"/>
      <c r="T2" s="17"/>
      <c r="U2" s="17"/>
      <c r="V2" s="17"/>
      <c r="W2" s="17"/>
      <c r="X2" s="17"/>
      <c r="Y2" s="17"/>
      <c r="Z2" s="17"/>
      <c r="AA2" s="17"/>
      <c r="AB2" s="17"/>
    </row>
    <row r="3" ht="56.25" customHeight="1">
      <c r="A3" s="15"/>
      <c r="B3" s="22" t="s">
        <v>402</v>
      </c>
      <c r="C3" s="19"/>
      <c r="E3" s="17"/>
      <c r="F3" s="21"/>
      <c r="G3" s="21"/>
      <c r="H3" s="21"/>
      <c r="I3" s="21"/>
      <c r="J3" s="21"/>
      <c r="K3" s="21"/>
      <c r="L3" s="21"/>
      <c r="M3" s="21"/>
      <c r="N3" s="17"/>
      <c r="O3" s="17"/>
      <c r="P3" s="17"/>
      <c r="Q3" s="17"/>
      <c r="R3" s="17"/>
      <c r="S3" s="17"/>
      <c r="T3" s="17"/>
      <c r="U3" s="17"/>
      <c r="V3" s="17"/>
      <c r="W3" s="17"/>
      <c r="X3" s="17"/>
      <c r="Y3" s="17"/>
      <c r="Z3" s="17"/>
      <c r="AA3" s="17"/>
      <c r="AB3" s="17"/>
    </row>
    <row r="4" ht="56.25" customHeight="1">
      <c r="A4" s="15"/>
      <c r="B4" s="22" t="s">
        <v>407</v>
      </c>
      <c r="C4" s="19"/>
      <c r="E4" s="17"/>
      <c r="F4" s="17"/>
      <c r="G4" s="17"/>
      <c r="H4" s="17"/>
      <c r="I4" s="17"/>
      <c r="J4" s="17"/>
      <c r="K4" s="17"/>
      <c r="L4" s="17"/>
      <c r="M4" s="17"/>
      <c r="N4" s="17"/>
      <c r="O4" s="17"/>
      <c r="P4" s="17"/>
      <c r="Q4" s="17"/>
      <c r="R4" s="17"/>
      <c r="S4" s="17"/>
      <c r="T4" s="17"/>
      <c r="U4" s="17"/>
      <c r="V4" s="17"/>
      <c r="W4" s="17"/>
      <c r="X4" s="17"/>
      <c r="Y4" s="17"/>
      <c r="Z4" s="17"/>
      <c r="AA4" s="17"/>
      <c r="AB4" s="17"/>
    </row>
    <row r="5" ht="56.25" customHeight="1">
      <c r="A5" s="15"/>
      <c r="B5" s="20"/>
      <c r="C5" s="19"/>
      <c r="D5" s="23"/>
      <c r="E5" s="17"/>
      <c r="F5" s="17"/>
      <c r="G5" s="17"/>
      <c r="H5" s="17"/>
      <c r="I5" s="17"/>
      <c r="J5" s="17"/>
      <c r="K5" s="17"/>
      <c r="L5" s="17"/>
      <c r="M5" s="17"/>
      <c r="N5" s="17"/>
      <c r="O5" s="17"/>
      <c r="P5" s="17"/>
      <c r="Q5" s="17"/>
      <c r="R5" s="17"/>
      <c r="S5" s="17"/>
      <c r="T5" s="17"/>
      <c r="U5" s="17"/>
      <c r="V5" s="17"/>
      <c r="W5" s="17"/>
      <c r="X5" s="17"/>
      <c r="Y5" s="17"/>
      <c r="Z5" s="17"/>
      <c r="AA5" s="17"/>
      <c r="AB5" s="17"/>
    </row>
    <row r="6" ht="56.25" customHeight="1">
      <c r="A6" s="15">
        <v>2.0</v>
      </c>
      <c r="B6" s="18" t="s">
        <v>417</v>
      </c>
      <c r="C6" s="19"/>
      <c r="D6" s="20" t="s">
        <v>419</v>
      </c>
      <c r="E6" s="17"/>
      <c r="F6" s="17"/>
      <c r="G6" s="17"/>
      <c r="H6" s="17"/>
      <c r="I6" s="17"/>
      <c r="J6" s="17"/>
      <c r="K6" s="17"/>
      <c r="L6" s="17"/>
      <c r="M6" s="17"/>
      <c r="N6" s="17"/>
      <c r="O6" s="17"/>
      <c r="P6" s="17"/>
      <c r="Q6" s="17"/>
      <c r="R6" s="17"/>
      <c r="S6" s="17"/>
      <c r="T6" s="17"/>
      <c r="U6" s="17"/>
      <c r="V6" s="17"/>
      <c r="W6" s="17"/>
      <c r="X6" s="17"/>
      <c r="Y6" s="17"/>
      <c r="Z6" s="17"/>
      <c r="AA6" s="17"/>
      <c r="AB6" s="17"/>
    </row>
    <row r="7" ht="56.25" customHeight="1">
      <c r="A7" s="15"/>
      <c r="B7" s="22" t="s">
        <v>422</v>
      </c>
      <c r="C7" s="19"/>
      <c r="E7" s="17"/>
      <c r="F7" s="17"/>
      <c r="G7" s="17"/>
      <c r="H7" s="17"/>
      <c r="I7" s="17"/>
      <c r="J7" s="17"/>
      <c r="K7" s="17"/>
      <c r="L7" s="17"/>
      <c r="M7" s="17"/>
      <c r="N7" s="17"/>
      <c r="O7" s="17"/>
      <c r="P7" s="17"/>
      <c r="Q7" s="17"/>
      <c r="R7" s="17"/>
      <c r="S7" s="17"/>
      <c r="T7" s="17"/>
      <c r="U7" s="17"/>
      <c r="V7" s="17"/>
      <c r="W7" s="17"/>
      <c r="X7" s="17"/>
      <c r="Y7" s="17"/>
      <c r="Z7" s="17"/>
      <c r="AA7" s="17"/>
      <c r="AB7" s="17"/>
    </row>
    <row r="8" ht="56.25" customHeight="1">
      <c r="A8" s="15"/>
      <c r="B8" s="22" t="s">
        <v>427</v>
      </c>
      <c r="C8" s="19"/>
      <c r="E8" s="17"/>
      <c r="F8" s="17"/>
      <c r="G8" s="17"/>
      <c r="H8" s="17"/>
      <c r="I8" s="17"/>
      <c r="J8" s="17"/>
      <c r="K8" s="17"/>
      <c r="L8" s="17"/>
      <c r="M8" s="17"/>
      <c r="N8" s="17"/>
      <c r="O8" s="17"/>
      <c r="P8" s="17"/>
      <c r="Q8" s="17"/>
      <c r="R8" s="17"/>
      <c r="S8" s="17"/>
      <c r="T8" s="17"/>
      <c r="U8" s="17"/>
      <c r="V8" s="17"/>
      <c r="W8" s="17"/>
      <c r="X8" s="17"/>
      <c r="Y8" s="17"/>
      <c r="Z8" s="17"/>
      <c r="AA8" s="17"/>
      <c r="AB8" s="17"/>
    </row>
    <row r="9" ht="56.25" customHeight="1">
      <c r="A9" s="15"/>
      <c r="B9" s="23"/>
      <c r="C9" s="19"/>
      <c r="D9" s="23"/>
      <c r="E9" s="17"/>
      <c r="F9" s="17"/>
      <c r="G9" s="17"/>
      <c r="H9" s="17"/>
      <c r="I9" s="17"/>
      <c r="J9" s="17"/>
      <c r="K9" s="17"/>
      <c r="L9" s="17"/>
      <c r="M9" s="17"/>
      <c r="N9" s="17"/>
      <c r="O9" s="17"/>
      <c r="P9" s="17"/>
      <c r="Q9" s="17"/>
      <c r="R9" s="17"/>
      <c r="S9" s="17"/>
      <c r="T9" s="17"/>
      <c r="U9" s="17"/>
      <c r="V9" s="17"/>
      <c r="W9" s="17"/>
      <c r="X9" s="17"/>
      <c r="Y9" s="17"/>
      <c r="Z9" s="17"/>
      <c r="AA9" s="17"/>
      <c r="AB9" s="17"/>
    </row>
    <row r="10" ht="56.25" customHeight="1">
      <c r="A10" s="15">
        <v>3.0</v>
      </c>
      <c r="B10" s="18" t="s">
        <v>435</v>
      </c>
      <c r="C10" s="19"/>
      <c r="D10" s="20" t="s">
        <v>436</v>
      </c>
      <c r="E10" s="17"/>
      <c r="F10" s="17"/>
      <c r="G10" s="17"/>
      <c r="H10" s="17"/>
      <c r="I10" s="17"/>
      <c r="J10" s="17"/>
      <c r="K10" s="17"/>
      <c r="L10" s="17"/>
      <c r="M10" s="17"/>
      <c r="N10" s="17"/>
      <c r="O10" s="17"/>
      <c r="P10" s="17"/>
      <c r="Q10" s="17"/>
      <c r="R10" s="17"/>
      <c r="S10" s="17"/>
      <c r="T10" s="17"/>
      <c r="U10" s="17"/>
      <c r="V10" s="17"/>
      <c r="W10" s="17"/>
      <c r="X10" s="17"/>
      <c r="Y10" s="17"/>
      <c r="Z10" s="17"/>
      <c r="AA10" s="17"/>
      <c r="AB10" s="17"/>
    </row>
    <row r="11" ht="56.25" customHeight="1">
      <c r="A11" s="15"/>
      <c r="B11" s="22" t="s">
        <v>438</v>
      </c>
      <c r="C11" s="19"/>
      <c r="E11" s="17"/>
      <c r="F11" s="17"/>
      <c r="G11" s="17"/>
      <c r="H11" s="17"/>
      <c r="I11" s="17"/>
      <c r="J11" s="17"/>
      <c r="K11" s="17"/>
      <c r="L11" s="17"/>
      <c r="M11" s="17"/>
      <c r="N11" s="17"/>
      <c r="O11" s="17"/>
      <c r="P11" s="17"/>
      <c r="Q11" s="17"/>
      <c r="R11" s="17"/>
      <c r="S11" s="17"/>
      <c r="T11" s="17"/>
      <c r="U11" s="17"/>
      <c r="V11" s="17"/>
      <c r="W11" s="17"/>
      <c r="X11" s="17"/>
      <c r="Y11" s="17"/>
      <c r="Z11" s="17"/>
      <c r="AA11" s="17"/>
      <c r="AB11" s="17"/>
    </row>
    <row r="12" ht="56.25" customHeight="1">
      <c r="A12" s="15"/>
      <c r="B12" s="22" t="s">
        <v>439</v>
      </c>
      <c r="C12" s="19"/>
      <c r="E12" s="17"/>
      <c r="F12" s="17"/>
      <c r="G12" s="17"/>
      <c r="H12" s="17"/>
      <c r="I12" s="17"/>
      <c r="J12" s="17"/>
      <c r="K12" s="17"/>
      <c r="L12" s="17"/>
      <c r="M12" s="17"/>
      <c r="N12" s="17"/>
      <c r="O12" s="17"/>
      <c r="P12" s="17"/>
      <c r="Q12" s="17"/>
      <c r="R12" s="17"/>
      <c r="S12" s="17"/>
      <c r="T12" s="17"/>
      <c r="U12" s="17"/>
      <c r="V12" s="17"/>
      <c r="W12" s="17"/>
      <c r="X12" s="17"/>
      <c r="Y12" s="17"/>
      <c r="Z12" s="17"/>
      <c r="AA12" s="17"/>
      <c r="AB12" s="17"/>
    </row>
    <row r="13" ht="56.25" customHeight="1">
      <c r="A13" s="26"/>
      <c r="B13" s="23"/>
      <c r="C13" s="19"/>
      <c r="D13" s="23"/>
      <c r="E13" s="17"/>
      <c r="F13" s="17"/>
      <c r="G13" s="17"/>
      <c r="H13" s="17"/>
      <c r="I13" s="17"/>
      <c r="J13" s="17"/>
      <c r="K13" s="17"/>
      <c r="L13" s="17"/>
      <c r="M13" s="17"/>
      <c r="N13" s="17"/>
      <c r="O13" s="17"/>
      <c r="P13" s="17"/>
      <c r="Q13" s="17"/>
      <c r="R13" s="17"/>
      <c r="S13" s="17"/>
      <c r="T13" s="17"/>
      <c r="U13" s="17"/>
      <c r="V13" s="17"/>
      <c r="W13" s="17"/>
      <c r="X13" s="17"/>
      <c r="Y13" s="17"/>
      <c r="Z13" s="17"/>
      <c r="AA13" s="17"/>
      <c r="AB13" s="17"/>
    </row>
    <row r="14" ht="56.25" customHeight="1">
      <c r="A14" s="15">
        <v>4.0</v>
      </c>
      <c r="B14" s="18" t="s">
        <v>448</v>
      </c>
      <c r="C14" s="19"/>
      <c r="D14" s="20" t="s">
        <v>450</v>
      </c>
      <c r="E14" s="17"/>
      <c r="F14" s="17"/>
      <c r="G14" s="17"/>
      <c r="H14" s="17"/>
      <c r="I14" s="17"/>
      <c r="J14" s="17"/>
      <c r="K14" s="17"/>
      <c r="L14" s="17"/>
      <c r="M14" s="17"/>
      <c r="N14" s="17"/>
      <c r="O14" s="17"/>
      <c r="P14" s="17"/>
      <c r="Q14" s="17"/>
      <c r="R14" s="17"/>
      <c r="S14" s="17"/>
      <c r="T14" s="17"/>
      <c r="U14" s="17"/>
      <c r="V14" s="17"/>
      <c r="W14" s="17"/>
      <c r="X14" s="17"/>
      <c r="Y14" s="17"/>
      <c r="Z14" s="17"/>
      <c r="AA14" s="17"/>
      <c r="AB14" s="17"/>
    </row>
    <row r="15" ht="56.25" customHeight="1">
      <c r="A15" s="15"/>
      <c r="B15" s="22" t="s">
        <v>456</v>
      </c>
      <c r="C15" s="19"/>
      <c r="E15" s="17"/>
      <c r="F15" s="17"/>
      <c r="G15" s="17"/>
      <c r="H15" s="17"/>
      <c r="I15" s="17"/>
      <c r="J15" s="17"/>
      <c r="K15" s="17"/>
      <c r="L15" s="17"/>
      <c r="M15" s="17"/>
      <c r="N15" s="17"/>
      <c r="O15" s="17"/>
      <c r="P15" s="17"/>
      <c r="Q15" s="17"/>
      <c r="R15" s="17"/>
      <c r="S15" s="17"/>
      <c r="T15" s="17"/>
      <c r="U15" s="17"/>
      <c r="V15" s="17"/>
      <c r="W15" s="17"/>
      <c r="X15" s="17"/>
      <c r="Y15" s="17"/>
      <c r="Z15" s="17"/>
      <c r="AA15" s="17"/>
      <c r="AB15" s="17"/>
    </row>
    <row r="16" ht="56.25" customHeight="1">
      <c r="A16" s="15"/>
      <c r="B16" s="22" t="s">
        <v>462</v>
      </c>
      <c r="C16" s="19"/>
      <c r="E16" s="17"/>
      <c r="F16" s="17"/>
      <c r="G16" s="17"/>
      <c r="H16" s="17"/>
      <c r="I16" s="17"/>
      <c r="J16" s="17"/>
      <c r="K16" s="17"/>
      <c r="L16" s="17"/>
      <c r="M16" s="17"/>
      <c r="N16" s="17"/>
      <c r="O16" s="17"/>
      <c r="P16" s="17"/>
      <c r="Q16" s="17"/>
      <c r="R16" s="17"/>
      <c r="S16" s="17"/>
      <c r="T16" s="17"/>
      <c r="U16" s="17"/>
      <c r="V16" s="17"/>
      <c r="W16" s="17"/>
      <c r="X16" s="17"/>
      <c r="Y16" s="17"/>
      <c r="Z16" s="17"/>
      <c r="AA16" s="17"/>
      <c r="AB16" s="17"/>
    </row>
    <row r="17" ht="56.25" customHeight="1">
      <c r="A17" s="26"/>
      <c r="B17" s="23"/>
      <c r="C17" s="19"/>
      <c r="D17" s="23"/>
      <c r="E17" s="17"/>
      <c r="F17" s="17"/>
      <c r="G17" s="17"/>
      <c r="H17" s="17"/>
      <c r="I17" s="17"/>
      <c r="J17" s="17"/>
      <c r="K17" s="17"/>
      <c r="L17" s="17"/>
      <c r="M17" s="17"/>
      <c r="N17" s="17"/>
      <c r="O17" s="17"/>
      <c r="P17" s="17"/>
      <c r="Q17" s="17"/>
      <c r="R17" s="17"/>
      <c r="S17" s="17"/>
      <c r="T17" s="17"/>
      <c r="U17" s="17"/>
      <c r="V17" s="17"/>
      <c r="W17" s="17"/>
      <c r="X17" s="17"/>
      <c r="Y17" s="17"/>
      <c r="Z17" s="17"/>
      <c r="AA17" s="17"/>
      <c r="AB17" s="17"/>
    </row>
    <row r="18" ht="56.25" customHeight="1">
      <c r="A18" s="15">
        <v>5.0</v>
      </c>
      <c r="B18" s="18" t="s">
        <v>467</v>
      </c>
      <c r="C18" s="19"/>
      <c r="D18" s="20" t="s">
        <v>468</v>
      </c>
      <c r="E18" s="17"/>
      <c r="F18" s="17"/>
      <c r="G18" s="17"/>
      <c r="H18" s="17"/>
      <c r="I18" s="17"/>
      <c r="J18" s="17"/>
      <c r="K18" s="17"/>
      <c r="L18" s="17"/>
      <c r="M18" s="17"/>
      <c r="N18" s="17"/>
      <c r="O18" s="17"/>
      <c r="P18" s="17"/>
      <c r="Q18" s="17"/>
      <c r="R18" s="17"/>
      <c r="S18" s="17"/>
      <c r="T18" s="17"/>
      <c r="U18" s="17"/>
      <c r="V18" s="17"/>
      <c r="W18" s="17"/>
      <c r="X18" s="17"/>
      <c r="Y18" s="17"/>
      <c r="Z18" s="17"/>
      <c r="AA18" s="17"/>
      <c r="AB18" s="17"/>
    </row>
    <row r="19" ht="56.25" customHeight="1">
      <c r="A19" s="15"/>
      <c r="B19" s="22" t="s">
        <v>472</v>
      </c>
      <c r="C19" s="19"/>
      <c r="E19" s="17"/>
      <c r="F19" s="17"/>
      <c r="G19" s="17"/>
      <c r="H19" s="17"/>
      <c r="I19" s="17"/>
      <c r="J19" s="17"/>
      <c r="K19" s="17"/>
      <c r="L19" s="17"/>
      <c r="M19" s="17"/>
      <c r="N19" s="17"/>
      <c r="O19" s="17"/>
      <c r="P19" s="17"/>
      <c r="Q19" s="17"/>
      <c r="R19" s="17"/>
      <c r="S19" s="17"/>
      <c r="T19" s="17"/>
      <c r="U19" s="17"/>
      <c r="V19" s="17"/>
      <c r="W19" s="17"/>
      <c r="X19" s="17"/>
      <c r="Y19" s="17"/>
      <c r="Z19" s="17"/>
      <c r="AA19" s="17"/>
      <c r="AB19" s="17"/>
    </row>
    <row r="20" ht="56.25" customHeight="1">
      <c r="A20" s="15"/>
      <c r="B20" s="22" t="s">
        <v>475</v>
      </c>
      <c r="C20" s="19"/>
      <c r="E20" s="17"/>
      <c r="F20" s="17"/>
      <c r="G20" s="17"/>
      <c r="H20" s="17"/>
      <c r="I20" s="17"/>
      <c r="J20" s="17"/>
      <c r="K20" s="17"/>
      <c r="L20" s="17"/>
      <c r="M20" s="17"/>
      <c r="N20" s="17"/>
      <c r="O20" s="17"/>
      <c r="P20" s="17"/>
      <c r="Q20" s="17"/>
      <c r="R20" s="17"/>
      <c r="S20" s="17"/>
      <c r="T20" s="17"/>
      <c r="U20" s="17"/>
      <c r="V20" s="17"/>
      <c r="W20" s="17"/>
      <c r="X20" s="17"/>
      <c r="Y20" s="17"/>
      <c r="Z20" s="17"/>
      <c r="AA20" s="17"/>
      <c r="AB20" s="17"/>
    </row>
    <row r="21" ht="56.25" customHeight="1">
      <c r="A21" s="26"/>
      <c r="B21" s="23"/>
      <c r="C21" s="19"/>
      <c r="D21" s="23"/>
      <c r="E21" s="17"/>
      <c r="F21" s="17"/>
      <c r="G21" s="17"/>
      <c r="H21" s="17"/>
      <c r="I21" s="17"/>
      <c r="J21" s="17"/>
      <c r="K21" s="17"/>
      <c r="L21" s="17"/>
      <c r="M21" s="17"/>
      <c r="N21" s="17"/>
      <c r="O21" s="17"/>
      <c r="P21" s="17"/>
      <c r="Q21" s="17"/>
      <c r="R21" s="17"/>
      <c r="S21" s="17"/>
      <c r="T21" s="17"/>
      <c r="U21" s="17"/>
      <c r="V21" s="17"/>
      <c r="W21" s="17"/>
      <c r="X21" s="17"/>
      <c r="Y21" s="17"/>
      <c r="Z21" s="17"/>
      <c r="AA21" s="17"/>
      <c r="AB21" s="17"/>
    </row>
    <row r="22" ht="56.25" customHeight="1">
      <c r="A22" s="15">
        <v>6.0</v>
      </c>
      <c r="B22" s="18" t="s">
        <v>477</v>
      </c>
      <c r="C22" s="19"/>
      <c r="D22" s="20" t="s">
        <v>478</v>
      </c>
      <c r="E22" s="17"/>
      <c r="F22" s="17"/>
      <c r="G22" s="17"/>
      <c r="H22" s="17"/>
      <c r="I22" s="17"/>
      <c r="J22" s="17"/>
      <c r="K22" s="17"/>
      <c r="L22" s="17"/>
      <c r="M22" s="17"/>
      <c r="N22" s="17"/>
      <c r="O22" s="17"/>
      <c r="P22" s="17"/>
      <c r="Q22" s="17"/>
      <c r="R22" s="17"/>
      <c r="S22" s="17"/>
      <c r="T22" s="17"/>
      <c r="U22" s="17"/>
      <c r="V22" s="17"/>
      <c r="W22" s="17"/>
      <c r="X22" s="17"/>
      <c r="Y22" s="17"/>
      <c r="Z22" s="17"/>
      <c r="AA22" s="17"/>
      <c r="AB22" s="17"/>
    </row>
    <row r="23" ht="56.25" customHeight="1">
      <c r="A23" s="15"/>
      <c r="B23" s="22" t="s">
        <v>481</v>
      </c>
      <c r="C23" s="19"/>
      <c r="E23" s="17"/>
      <c r="F23" s="17"/>
      <c r="G23" s="17"/>
      <c r="H23" s="17"/>
      <c r="I23" s="17"/>
      <c r="J23" s="17"/>
      <c r="K23" s="17"/>
      <c r="L23" s="17"/>
      <c r="M23" s="17"/>
      <c r="N23" s="17"/>
      <c r="O23" s="17"/>
      <c r="P23" s="17"/>
      <c r="Q23" s="17"/>
      <c r="R23" s="17"/>
      <c r="S23" s="17"/>
      <c r="T23" s="17"/>
      <c r="U23" s="17"/>
      <c r="V23" s="17"/>
      <c r="W23" s="17"/>
      <c r="X23" s="17"/>
      <c r="Y23" s="17"/>
      <c r="Z23" s="17"/>
      <c r="AA23" s="17"/>
      <c r="AB23" s="17"/>
    </row>
    <row r="24" ht="56.25" customHeight="1">
      <c r="A24" s="15"/>
      <c r="B24" s="22" t="s">
        <v>483</v>
      </c>
      <c r="C24" s="19"/>
      <c r="E24" s="17"/>
      <c r="F24" s="17"/>
      <c r="G24" s="17"/>
      <c r="H24" s="17"/>
      <c r="I24" s="17"/>
      <c r="J24" s="17"/>
      <c r="K24" s="17"/>
      <c r="L24" s="17"/>
      <c r="M24" s="17"/>
      <c r="N24" s="17"/>
      <c r="O24" s="17"/>
      <c r="P24" s="17"/>
      <c r="Q24" s="17"/>
      <c r="R24" s="17"/>
      <c r="S24" s="17"/>
      <c r="T24" s="17"/>
      <c r="U24" s="17"/>
      <c r="V24" s="17"/>
      <c r="W24" s="17"/>
      <c r="X24" s="17"/>
      <c r="Y24" s="17"/>
      <c r="Z24" s="17"/>
      <c r="AA24" s="17"/>
      <c r="AB24" s="17"/>
    </row>
    <row r="25" ht="56.25" customHeight="1">
      <c r="A25" s="26"/>
      <c r="B25" s="23"/>
      <c r="C25" s="19"/>
      <c r="D25" s="23"/>
      <c r="E25" s="17"/>
      <c r="F25" s="17"/>
      <c r="G25" s="17"/>
      <c r="H25" s="17"/>
      <c r="I25" s="17"/>
      <c r="J25" s="17"/>
      <c r="K25" s="17"/>
      <c r="L25" s="17"/>
      <c r="M25" s="17"/>
      <c r="N25" s="17"/>
      <c r="O25" s="17"/>
      <c r="P25" s="17"/>
      <c r="Q25" s="17"/>
      <c r="R25" s="17"/>
      <c r="S25" s="17"/>
      <c r="T25" s="17"/>
      <c r="U25" s="17"/>
      <c r="V25" s="17"/>
      <c r="W25" s="17"/>
      <c r="X25" s="17"/>
      <c r="Y25" s="17"/>
      <c r="Z25" s="17"/>
      <c r="AA25" s="17"/>
      <c r="AB25" s="17"/>
    </row>
    <row r="26" ht="56.25" customHeight="1">
      <c r="A26" s="15">
        <v>7.0</v>
      </c>
      <c r="B26" s="18" t="s">
        <v>488</v>
      </c>
      <c r="C26" s="19"/>
      <c r="D26" s="20" t="s">
        <v>489</v>
      </c>
      <c r="E26" s="17"/>
      <c r="F26" s="17"/>
      <c r="G26" s="17"/>
      <c r="H26" s="17"/>
      <c r="I26" s="17"/>
      <c r="J26" s="17"/>
      <c r="K26" s="17"/>
      <c r="L26" s="17"/>
      <c r="M26" s="17"/>
      <c r="N26" s="17"/>
      <c r="O26" s="17"/>
      <c r="P26" s="17"/>
      <c r="Q26" s="17"/>
      <c r="R26" s="17"/>
      <c r="S26" s="17"/>
      <c r="T26" s="17"/>
      <c r="U26" s="17"/>
      <c r="V26" s="17"/>
      <c r="W26" s="17"/>
      <c r="X26" s="17"/>
      <c r="Y26" s="17"/>
      <c r="Z26" s="17"/>
      <c r="AA26" s="17"/>
      <c r="AB26" s="17"/>
    </row>
    <row r="27" ht="56.25" customHeight="1">
      <c r="A27" s="15"/>
      <c r="B27" s="22" t="s">
        <v>492</v>
      </c>
      <c r="C27" s="19"/>
      <c r="E27" s="17"/>
      <c r="F27" s="17"/>
      <c r="G27" s="17"/>
      <c r="H27" s="17"/>
      <c r="I27" s="17"/>
      <c r="J27" s="17"/>
      <c r="K27" s="17"/>
      <c r="L27" s="17"/>
      <c r="M27" s="17"/>
      <c r="N27" s="17"/>
      <c r="O27" s="17"/>
      <c r="P27" s="17"/>
      <c r="Q27" s="17"/>
      <c r="R27" s="17"/>
      <c r="S27" s="17"/>
      <c r="T27" s="17"/>
      <c r="U27" s="17"/>
      <c r="V27" s="17"/>
      <c r="W27" s="17"/>
      <c r="X27" s="17"/>
      <c r="Y27" s="17"/>
      <c r="Z27" s="17"/>
      <c r="AA27" s="17"/>
      <c r="AB27" s="17"/>
    </row>
    <row r="28" ht="56.25" customHeight="1">
      <c r="A28" s="15"/>
      <c r="B28" s="22" t="s">
        <v>494</v>
      </c>
      <c r="C28" s="19"/>
      <c r="E28" s="17"/>
      <c r="F28" s="17"/>
      <c r="G28" s="17"/>
      <c r="H28" s="17"/>
      <c r="I28" s="17"/>
      <c r="J28" s="17"/>
      <c r="K28" s="17"/>
      <c r="L28" s="17"/>
      <c r="M28" s="17"/>
      <c r="N28" s="17"/>
      <c r="O28" s="17"/>
      <c r="P28" s="17"/>
      <c r="Q28" s="17"/>
      <c r="R28" s="17"/>
      <c r="S28" s="17"/>
      <c r="T28" s="17"/>
      <c r="U28" s="17"/>
      <c r="V28" s="17"/>
      <c r="W28" s="17"/>
      <c r="X28" s="17"/>
      <c r="Y28" s="17"/>
      <c r="Z28" s="17"/>
      <c r="AA28" s="17"/>
      <c r="AB28" s="17"/>
    </row>
    <row r="29" ht="56.25" customHeight="1">
      <c r="A29" s="26"/>
      <c r="B29" s="23"/>
      <c r="C29" s="19"/>
      <c r="D29" s="23"/>
      <c r="E29" s="17"/>
      <c r="F29" s="17"/>
      <c r="G29" s="17"/>
      <c r="H29" s="17"/>
      <c r="I29" s="17"/>
      <c r="J29" s="17"/>
      <c r="K29" s="17"/>
      <c r="L29" s="17"/>
      <c r="M29" s="17"/>
      <c r="N29" s="17"/>
      <c r="O29" s="17"/>
      <c r="P29" s="17"/>
      <c r="Q29" s="17"/>
      <c r="R29" s="17"/>
      <c r="S29" s="17"/>
      <c r="T29" s="17"/>
      <c r="U29" s="17"/>
      <c r="V29" s="17"/>
      <c r="W29" s="17"/>
      <c r="X29" s="17"/>
      <c r="Y29" s="17"/>
      <c r="Z29" s="17"/>
      <c r="AA29" s="17"/>
      <c r="AB29" s="17"/>
    </row>
    <row r="30" ht="56.25" customHeight="1">
      <c r="A30" s="15">
        <v>8.0</v>
      </c>
      <c r="B30" s="18" t="s">
        <v>498</v>
      </c>
      <c r="C30" s="19"/>
      <c r="D30" s="20" t="s">
        <v>499</v>
      </c>
      <c r="E30" s="17"/>
      <c r="F30" s="17"/>
      <c r="G30" s="17"/>
      <c r="H30" s="17"/>
      <c r="I30" s="17"/>
      <c r="J30" s="17"/>
      <c r="K30" s="17"/>
      <c r="L30" s="17"/>
      <c r="M30" s="17"/>
      <c r="N30" s="17"/>
      <c r="O30" s="17"/>
      <c r="P30" s="17"/>
      <c r="Q30" s="17"/>
      <c r="R30" s="17"/>
      <c r="S30" s="17"/>
      <c r="T30" s="17"/>
      <c r="U30" s="17"/>
      <c r="V30" s="17"/>
      <c r="W30" s="17"/>
      <c r="X30" s="17"/>
      <c r="Y30" s="17"/>
      <c r="Z30" s="17"/>
      <c r="AA30" s="17"/>
      <c r="AB30" s="17"/>
    </row>
    <row r="31" ht="56.25" customHeight="1">
      <c r="A31" s="15"/>
      <c r="B31" s="22" t="s">
        <v>502</v>
      </c>
      <c r="C31" s="19"/>
      <c r="E31" s="17"/>
      <c r="F31" s="17"/>
      <c r="G31" s="17"/>
      <c r="H31" s="17"/>
      <c r="I31" s="17"/>
      <c r="J31" s="17"/>
      <c r="K31" s="17"/>
      <c r="L31" s="17"/>
      <c r="M31" s="17"/>
      <c r="N31" s="17"/>
      <c r="O31" s="17"/>
      <c r="P31" s="17"/>
      <c r="Q31" s="17"/>
      <c r="R31" s="17"/>
      <c r="S31" s="17"/>
      <c r="T31" s="17"/>
      <c r="U31" s="17"/>
      <c r="V31" s="17"/>
      <c r="W31" s="17"/>
      <c r="X31" s="17"/>
      <c r="Y31" s="17"/>
      <c r="Z31" s="17"/>
      <c r="AA31" s="17"/>
      <c r="AB31" s="17"/>
    </row>
    <row r="32" ht="56.25" customHeight="1">
      <c r="A32" s="15"/>
      <c r="B32" s="22" t="s">
        <v>504</v>
      </c>
      <c r="C32" s="19"/>
      <c r="E32" s="17"/>
      <c r="F32" s="17"/>
      <c r="G32" s="17"/>
      <c r="H32" s="17"/>
      <c r="I32" s="17"/>
      <c r="J32" s="17"/>
      <c r="K32" s="17"/>
      <c r="L32" s="17"/>
      <c r="M32" s="17"/>
      <c r="N32" s="17"/>
      <c r="O32" s="17"/>
      <c r="P32" s="17"/>
      <c r="Q32" s="17"/>
      <c r="R32" s="17"/>
      <c r="S32" s="17"/>
      <c r="T32" s="17"/>
      <c r="U32" s="17"/>
      <c r="V32" s="17"/>
      <c r="W32" s="17"/>
      <c r="X32" s="17"/>
      <c r="Y32" s="17"/>
      <c r="Z32" s="17"/>
      <c r="AA32" s="17"/>
      <c r="AB32" s="17"/>
    </row>
    <row r="33" ht="56.25" customHeight="1">
      <c r="A33" s="26"/>
      <c r="B33" s="23"/>
      <c r="C33" s="19"/>
      <c r="D33" s="23"/>
      <c r="E33" s="17"/>
      <c r="F33" s="17"/>
      <c r="G33" s="17"/>
      <c r="H33" s="17"/>
      <c r="I33" s="17"/>
      <c r="J33" s="17"/>
      <c r="K33" s="17"/>
      <c r="L33" s="17"/>
      <c r="M33" s="17"/>
      <c r="N33" s="17"/>
      <c r="O33" s="17"/>
      <c r="P33" s="17"/>
      <c r="Q33" s="17"/>
      <c r="R33" s="17"/>
      <c r="S33" s="17"/>
      <c r="T33" s="17"/>
      <c r="U33" s="17"/>
      <c r="V33" s="17"/>
      <c r="W33" s="17"/>
      <c r="X33" s="17"/>
      <c r="Y33" s="17"/>
      <c r="Z33" s="17"/>
      <c r="AA33" s="17"/>
      <c r="AB33" s="17"/>
    </row>
    <row r="34" ht="56.25" customHeight="1">
      <c r="A34" s="15">
        <v>9.0</v>
      </c>
      <c r="B34" s="18" t="s">
        <v>509</v>
      </c>
      <c r="C34" s="19"/>
      <c r="D34" s="20" t="s">
        <v>510</v>
      </c>
      <c r="E34" s="17"/>
      <c r="F34" s="17"/>
      <c r="G34" s="17"/>
      <c r="H34" s="17"/>
      <c r="I34" s="17"/>
      <c r="J34" s="17"/>
      <c r="K34" s="17"/>
      <c r="L34" s="17"/>
      <c r="M34" s="17"/>
      <c r="N34" s="17"/>
      <c r="O34" s="17"/>
      <c r="P34" s="17"/>
      <c r="Q34" s="17"/>
      <c r="R34" s="17"/>
      <c r="S34" s="17"/>
      <c r="T34" s="17"/>
      <c r="U34" s="17"/>
      <c r="V34" s="17"/>
      <c r="W34" s="17"/>
      <c r="X34" s="17"/>
      <c r="Y34" s="17"/>
      <c r="Z34" s="17"/>
      <c r="AA34" s="17"/>
      <c r="AB34" s="17"/>
    </row>
    <row r="35" ht="56.25" customHeight="1">
      <c r="A35" s="15"/>
      <c r="B35" s="22" t="s">
        <v>513</v>
      </c>
      <c r="C35" s="19"/>
      <c r="E35" s="17"/>
      <c r="F35" s="17"/>
      <c r="G35" s="17"/>
      <c r="H35" s="17"/>
      <c r="I35" s="17"/>
      <c r="J35" s="17"/>
      <c r="K35" s="17"/>
      <c r="L35" s="17"/>
      <c r="M35" s="17"/>
      <c r="N35" s="17"/>
      <c r="O35" s="17"/>
      <c r="P35" s="17"/>
      <c r="Q35" s="17"/>
      <c r="R35" s="17"/>
      <c r="S35" s="17"/>
      <c r="T35" s="17"/>
      <c r="U35" s="17"/>
      <c r="V35" s="17"/>
      <c r="W35" s="17"/>
      <c r="X35" s="17"/>
      <c r="Y35" s="17"/>
      <c r="Z35" s="17"/>
      <c r="AA35" s="17"/>
      <c r="AB35" s="17"/>
    </row>
    <row r="36" ht="56.25" customHeight="1">
      <c r="A36" s="15"/>
      <c r="B36" s="22" t="s">
        <v>515</v>
      </c>
      <c r="C36" s="19"/>
      <c r="E36" s="17"/>
      <c r="F36" s="17"/>
      <c r="G36" s="17"/>
      <c r="H36" s="17"/>
      <c r="I36" s="17"/>
      <c r="J36" s="17"/>
      <c r="K36" s="17"/>
      <c r="L36" s="17"/>
      <c r="M36" s="17"/>
      <c r="N36" s="17"/>
      <c r="O36" s="17"/>
      <c r="P36" s="17"/>
      <c r="Q36" s="17"/>
      <c r="R36" s="17"/>
      <c r="S36" s="17"/>
      <c r="T36" s="17"/>
      <c r="U36" s="17"/>
      <c r="V36" s="17"/>
      <c r="W36" s="17"/>
      <c r="X36" s="17"/>
      <c r="Y36" s="17"/>
      <c r="Z36" s="17"/>
      <c r="AA36" s="17"/>
      <c r="AB36" s="17"/>
    </row>
    <row r="37" ht="56.25" customHeight="1">
      <c r="A37" s="26"/>
      <c r="B37" s="23"/>
      <c r="C37" s="19"/>
      <c r="D37" s="23"/>
      <c r="E37" s="17"/>
      <c r="F37" s="17"/>
      <c r="G37" s="17"/>
      <c r="H37" s="17"/>
      <c r="I37" s="17"/>
      <c r="J37" s="17"/>
      <c r="K37" s="17"/>
      <c r="L37" s="17"/>
      <c r="M37" s="17"/>
      <c r="N37" s="17"/>
      <c r="O37" s="17"/>
      <c r="P37" s="17"/>
      <c r="Q37" s="17"/>
      <c r="R37" s="17"/>
      <c r="S37" s="17"/>
      <c r="T37" s="17"/>
      <c r="U37" s="17"/>
      <c r="V37" s="17"/>
      <c r="W37" s="17"/>
      <c r="X37" s="17"/>
      <c r="Y37" s="17"/>
      <c r="Z37" s="17"/>
      <c r="AA37" s="17"/>
      <c r="AB37" s="17"/>
    </row>
    <row r="38" ht="56.25" customHeight="1">
      <c r="A38" s="15">
        <v>10.0</v>
      </c>
      <c r="B38" s="18" t="s">
        <v>519</v>
      </c>
      <c r="C38" s="19"/>
      <c r="D38" s="20" t="s">
        <v>520</v>
      </c>
      <c r="E38" s="17"/>
      <c r="F38" s="17"/>
      <c r="G38" s="17"/>
      <c r="H38" s="17"/>
      <c r="I38" s="17"/>
      <c r="J38" s="17"/>
      <c r="K38" s="17"/>
      <c r="L38" s="17"/>
      <c r="M38" s="17"/>
      <c r="N38" s="17"/>
      <c r="O38" s="17"/>
      <c r="P38" s="17"/>
      <c r="Q38" s="17"/>
      <c r="R38" s="17"/>
      <c r="S38" s="17"/>
      <c r="T38" s="17"/>
      <c r="U38" s="17"/>
      <c r="V38" s="17"/>
      <c r="W38" s="17"/>
      <c r="X38" s="17"/>
      <c r="Y38" s="17"/>
      <c r="Z38" s="17"/>
      <c r="AA38" s="17"/>
      <c r="AB38" s="17"/>
    </row>
    <row r="39" ht="56.25" customHeight="1">
      <c r="A39" s="15"/>
      <c r="B39" s="22" t="s">
        <v>523</v>
      </c>
      <c r="C39" s="19"/>
      <c r="E39" s="17"/>
      <c r="F39" s="17"/>
      <c r="G39" s="17"/>
      <c r="H39" s="17"/>
      <c r="I39" s="17"/>
      <c r="J39" s="17"/>
      <c r="K39" s="17"/>
      <c r="L39" s="17"/>
      <c r="M39" s="17"/>
      <c r="N39" s="17"/>
      <c r="O39" s="17"/>
      <c r="P39" s="17"/>
      <c r="Q39" s="17"/>
      <c r="R39" s="17"/>
      <c r="S39" s="17"/>
      <c r="T39" s="17"/>
      <c r="U39" s="17"/>
      <c r="V39" s="17"/>
      <c r="W39" s="17"/>
      <c r="X39" s="17"/>
      <c r="Y39" s="17"/>
      <c r="Z39" s="17"/>
      <c r="AA39" s="17"/>
      <c r="AB39" s="17"/>
    </row>
    <row r="40" ht="56.25" customHeight="1">
      <c r="A40" s="15"/>
      <c r="B40" s="22" t="s">
        <v>526</v>
      </c>
      <c r="C40" s="19"/>
      <c r="E40" s="17"/>
      <c r="F40" s="17"/>
      <c r="G40" s="17"/>
      <c r="H40" s="17"/>
      <c r="I40" s="17"/>
      <c r="J40" s="17"/>
      <c r="K40" s="17"/>
      <c r="L40" s="17"/>
      <c r="M40" s="17"/>
      <c r="N40" s="17"/>
      <c r="O40" s="17"/>
      <c r="P40" s="17"/>
      <c r="Q40" s="17"/>
      <c r="R40" s="17"/>
      <c r="S40" s="17"/>
      <c r="T40" s="17"/>
      <c r="U40" s="17"/>
      <c r="V40" s="17"/>
      <c r="W40" s="17"/>
      <c r="X40" s="17"/>
      <c r="Y40" s="17"/>
      <c r="Z40" s="17"/>
      <c r="AA40" s="17"/>
      <c r="AB40" s="17"/>
    </row>
    <row r="41" ht="56.25" customHeight="1">
      <c r="A41" s="26"/>
      <c r="B41" s="23"/>
      <c r="C41" s="19"/>
      <c r="D41" s="23"/>
      <c r="E41" s="17"/>
      <c r="F41" s="17"/>
      <c r="G41" s="17"/>
      <c r="H41" s="17"/>
      <c r="I41" s="17"/>
      <c r="J41" s="17"/>
      <c r="K41" s="17"/>
      <c r="L41" s="17"/>
      <c r="M41" s="17"/>
      <c r="N41" s="17"/>
      <c r="O41" s="17"/>
      <c r="P41" s="17"/>
      <c r="Q41" s="17"/>
      <c r="R41" s="17"/>
      <c r="S41" s="17"/>
      <c r="T41" s="17"/>
      <c r="U41" s="17"/>
      <c r="V41" s="17"/>
      <c r="W41" s="17"/>
      <c r="X41" s="17"/>
      <c r="Y41" s="17"/>
      <c r="Z41" s="17"/>
      <c r="AA41" s="17"/>
      <c r="AB41" s="17"/>
    </row>
    <row r="42" ht="56.25" customHeight="1">
      <c r="A42" s="15">
        <v>11.0</v>
      </c>
      <c r="B42" s="18" t="s">
        <v>531</v>
      </c>
      <c r="C42" s="19"/>
      <c r="D42" s="20" t="s">
        <v>532</v>
      </c>
      <c r="E42" s="17"/>
      <c r="F42" s="17"/>
      <c r="G42" s="17"/>
      <c r="H42" s="17"/>
      <c r="I42" s="17"/>
      <c r="J42" s="17"/>
      <c r="K42" s="17"/>
      <c r="L42" s="17"/>
      <c r="M42" s="17"/>
      <c r="N42" s="17"/>
      <c r="O42" s="17"/>
      <c r="P42" s="17"/>
      <c r="Q42" s="17"/>
      <c r="R42" s="17"/>
      <c r="S42" s="17"/>
      <c r="T42" s="17"/>
      <c r="U42" s="17"/>
      <c r="V42" s="17"/>
      <c r="W42" s="17"/>
      <c r="X42" s="17"/>
      <c r="Y42" s="17"/>
      <c r="Z42" s="17"/>
      <c r="AA42" s="17"/>
      <c r="AB42" s="17"/>
    </row>
    <row r="43" ht="56.25" customHeight="1">
      <c r="A43" s="15"/>
      <c r="B43" s="22" t="s">
        <v>534</v>
      </c>
      <c r="C43" s="19"/>
      <c r="E43" s="17"/>
      <c r="F43" s="17"/>
      <c r="G43" s="17"/>
      <c r="H43" s="17"/>
      <c r="I43" s="17"/>
      <c r="J43" s="17"/>
      <c r="K43" s="17"/>
      <c r="L43" s="17"/>
      <c r="M43" s="17"/>
      <c r="N43" s="17"/>
      <c r="O43" s="17"/>
      <c r="P43" s="17"/>
      <c r="Q43" s="17"/>
      <c r="R43" s="17"/>
      <c r="S43" s="17"/>
      <c r="T43" s="17"/>
      <c r="U43" s="17"/>
      <c r="V43" s="17"/>
      <c r="W43" s="17"/>
      <c r="X43" s="17"/>
      <c r="Y43" s="17"/>
      <c r="Z43" s="17"/>
      <c r="AA43" s="17"/>
      <c r="AB43" s="17"/>
    </row>
    <row r="44" ht="56.25" customHeight="1">
      <c r="A44" s="15"/>
      <c r="B44" s="22" t="s">
        <v>538</v>
      </c>
      <c r="C44" s="19"/>
      <c r="E44" s="17"/>
      <c r="F44" s="17"/>
      <c r="G44" s="17"/>
      <c r="H44" s="17"/>
      <c r="I44" s="17"/>
      <c r="J44" s="17"/>
      <c r="K44" s="17"/>
      <c r="L44" s="17"/>
      <c r="M44" s="17"/>
      <c r="N44" s="17"/>
      <c r="O44" s="17"/>
      <c r="P44" s="17"/>
      <c r="Q44" s="17"/>
      <c r="R44" s="17"/>
      <c r="S44" s="17"/>
      <c r="T44" s="17"/>
      <c r="U44" s="17"/>
      <c r="V44" s="17"/>
      <c r="W44" s="17"/>
      <c r="X44" s="17"/>
      <c r="Y44" s="17"/>
      <c r="Z44" s="17"/>
      <c r="AA44" s="17"/>
      <c r="AB44" s="17"/>
    </row>
    <row r="45" ht="56.25" customHeight="1">
      <c r="A45" s="26"/>
      <c r="B45" s="23"/>
      <c r="C45" s="19"/>
      <c r="D45" s="23"/>
      <c r="E45" s="17"/>
      <c r="F45" s="17"/>
      <c r="G45" s="17"/>
      <c r="H45" s="17"/>
      <c r="I45" s="17"/>
      <c r="J45" s="17"/>
      <c r="K45" s="17"/>
      <c r="L45" s="17"/>
      <c r="M45" s="17"/>
      <c r="N45" s="17"/>
      <c r="O45" s="17"/>
      <c r="P45" s="17"/>
      <c r="Q45" s="17"/>
      <c r="R45" s="17"/>
      <c r="S45" s="17"/>
      <c r="T45" s="17"/>
      <c r="U45" s="17"/>
      <c r="V45" s="17"/>
      <c r="W45" s="17"/>
      <c r="X45" s="17"/>
      <c r="Y45" s="17"/>
      <c r="Z45" s="17"/>
      <c r="AA45" s="17"/>
      <c r="AB45" s="17"/>
    </row>
    <row r="46" ht="56.25" customHeight="1">
      <c r="A46" s="15">
        <v>12.0</v>
      </c>
      <c r="B46" s="18" t="s">
        <v>543</v>
      </c>
      <c r="C46" s="19"/>
      <c r="D46" s="20" t="s">
        <v>544</v>
      </c>
      <c r="E46" s="17"/>
      <c r="F46" s="17"/>
      <c r="G46" s="17"/>
      <c r="H46" s="17"/>
      <c r="I46" s="17"/>
      <c r="J46" s="17"/>
      <c r="K46" s="17"/>
      <c r="L46" s="17"/>
      <c r="M46" s="17"/>
      <c r="N46" s="17"/>
      <c r="O46" s="17"/>
      <c r="P46" s="17"/>
      <c r="Q46" s="17"/>
      <c r="R46" s="17"/>
      <c r="S46" s="17"/>
      <c r="T46" s="17"/>
      <c r="U46" s="17"/>
      <c r="V46" s="17"/>
      <c r="W46" s="17"/>
      <c r="X46" s="17"/>
      <c r="Y46" s="17"/>
      <c r="Z46" s="17"/>
      <c r="AA46" s="17"/>
      <c r="AB46" s="17"/>
    </row>
    <row r="47" ht="56.25" customHeight="1">
      <c r="A47" s="15"/>
      <c r="B47" s="22" t="s">
        <v>546</v>
      </c>
      <c r="C47" s="19"/>
      <c r="E47" s="17"/>
      <c r="F47" s="17"/>
      <c r="G47" s="17"/>
      <c r="H47" s="17"/>
      <c r="I47" s="17"/>
      <c r="J47" s="17"/>
      <c r="K47" s="17"/>
      <c r="L47" s="17"/>
      <c r="M47" s="17"/>
      <c r="N47" s="17"/>
      <c r="O47" s="17"/>
      <c r="P47" s="17"/>
      <c r="Q47" s="17"/>
      <c r="R47" s="17"/>
      <c r="S47" s="17"/>
      <c r="T47" s="17"/>
      <c r="U47" s="17"/>
      <c r="V47" s="17"/>
      <c r="W47" s="17"/>
      <c r="X47" s="17"/>
      <c r="Y47" s="17"/>
      <c r="Z47" s="17"/>
      <c r="AA47" s="17"/>
      <c r="AB47" s="17"/>
    </row>
    <row r="48" ht="56.25" customHeight="1">
      <c r="A48" s="15"/>
      <c r="B48" s="22" t="s">
        <v>548</v>
      </c>
      <c r="C48" s="19"/>
      <c r="E48" s="17"/>
      <c r="F48" s="17"/>
      <c r="G48" s="17"/>
      <c r="H48" s="17"/>
      <c r="I48" s="17"/>
      <c r="J48" s="17"/>
      <c r="K48" s="17"/>
      <c r="L48" s="17"/>
      <c r="M48" s="17"/>
      <c r="N48" s="17"/>
      <c r="O48" s="17"/>
      <c r="P48" s="17"/>
      <c r="Q48" s="17"/>
      <c r="R48" s="17"/>
      <c r="S48" s="17"/>
      <c r="T48" s="17"/>
      <c r="U48" s="17"/>
      <c r="V48" s="17"/>
      <c r="W48" s="17"/>
      <c r="X48" s="17"/>
      <c r="Y48" s="17"/>
      <c r="Z48" s="17"/>
      <c r="AA48" s="17"/>
      <c r="AB48" s="17"/>
    </row>
    <row r="49" ht="56.25" customHeight="1">
      <c r="A49" s="26"/>
      <c r="B49" s="23"/>
      <c r="C49" s="19"/>
      <c r="D49" s="23"/>
      <c r="E49" s="17"/>
      <c r="F49" s="17"/>
      <c r="G49" s="17"/>
      <c r="H49" s="17"/>
      <c r="I49" s="17"/>
      <c r="J49" s="17"/>
      <c r="K49" s="17"/>
      <c r="L49" s="17"/>
      <c r="M49" s="17"/>
      <c r="N49" s="17"/>
      <c r="O49" s="17"/>
      <c r="P49" s="17"/>
      <c r="Q49" s="17"/>
      <c r="R49" s="17"/>
      <c r="S49" s="17"/>
      <c r="T49" s="17"/>
      <c r="U49" s="17"/>
      <c r="V49" s="17"/>
      <c r="W49" s="17"/>
      <c r="X49" s="17"/>
      <c r="Y49" s="17"/>
      <c r="Z49" s="17"/>
      <c r="AA49" s="17"/>
      <c r="AB49" s="17"/>
    </row>
    <row r="50" ht="56.25" customHeight="1">
      <c r="A50" s="15">
        <v>13.0</v>
      </c>
      <c r="B50" s="18" t="s">
        <v>552</v>
      </c>
      <c r="C50" s="19"/>
      <c r="D50" s="20" t="s">
        <v>553</v>
      </c>
      <c r="E50" s="17"/>
      <c r="F50" s="17"/>
      <c r="G50" s="17"/>
      <c r="H50" s="17"/>
      <c r="I50" s="17"/>
      <c r="J50" s="17"/>
      <c r="K50" s="17"/>
      <c r="L50" s="17"/>
      <c r="M50" s="17"/>
      <c r="N50" s="17"/>
      <c r="O50" s="17"/>
      <c r="P50" s="17"/>
      <c r="Q50" s="17"/>
      <c r="R50" s="17"/>
      <c r="S50" s="17"/>
      <c r="T50" s="17"/>
      <c r="U50" s="17"/>
      <c r="V50" s="17"/>
      <c r="W50" s="17"/>
      <c r="X50" s="17"/>
      <c r="Y50" s="17"/>
      <c r="Z50" s="17"/>
      <c r="AA50" s="17"/>
      <c r="AB50" s="17"/>
    </row>
    <row r="51" ht="56.25" customHeight="1">
      <c r="A51" s="15"/>
      <c r="B51" s="22" t="s">
        <v>554</v>
      </c>
      <c r="C51" s="19"/>
      <c r="E51" s="17"/>
      <c r="F51" s="17"/>
      <c r="G51" s="17"/>
      <c r="H51" s="17"/>
      <c r="I51" s="17"/>
      <c r="J51" s="17"/>
      <c r="K51" s="17"/>
      <c r="L51" s="17"/>
      <c r="M51" s="17"/>
      <c r="N51" s="17"/>
      <c r="O51" s="17"/>
      <c r="P51" s="17"/>
      <c r="Q51" s="17"/>
      <c r="R51" s="17"/>
      <c r="S51" s="17"/>
      <c r="T51" s="17"/>
      <c r="U51" s="17"/>
      <c r="V51" s="17"/>
      <c r="W51" s="17"/>
      <c r="X51" s="17"/>
      <c r="Y51" s="17"/>
      <c r="Z51" s="17"/>
      <c r="AA51" s="17"/>
      <c r="AB51" s="17"/>
    </row>
    <row r="52" ht="56.25" customHeight="1">
      <c r="A52" s="15"/>
      <c r="B52" s="22" t="s">
        <v>555</v>
      </c>
      <c r="C52" s="19"/>
      <c r="E52" s="17"/>
      <c r="F52" s="17"/>
      <c r="G52" s="17"/>
      <c r="H52" s="17"/>
      <c r="I52" s="17"/>
      <c r="J52" s="17"/>
      <c r="K52" s="17"/>
      <c r="L52" s="17"/>
      <c r="M52" s="17"/>
      <c r="N52" s="17"/>
      <c r="O52" s="17"/>
      <c r="P52" s="17"/>
      <c r="Q52" s="17"/>
      <c r="R52" s="17"/>
      <c r="S52" s="17"/>
      <c r="T52" s="17"/>
      <c r="U52" s="17"/>
      <c r="V52" s="17"/>
      <c r="W52" s="17"/>
      <c r="X52" s="17"/>
      <c r="Y52" s="17"/>
      <c r="Z52" s="17"/>
      <c r="AA52" s="17"/>
      <c r="AB52" s="17"/>
    </row>
    <row r="53" ht="56.25" customHeight="1">
      <c r="A53" s="26"/>
      <c r="B53" s="23"/>
      <c r="C53" s="19"/>
      <c r="D53" s="23"/>
      <c r="E53" s="17"/>
      <c r="F53" s="17"/>
      <c r="G53" s="17"/>
      <c r="H53" s="17"/>
      <c r="I53" s="17"/>
      <c r="J53" s="17"/>
      <c r="K53" s="17"/>
      <c r="L53" s="17"/>
      <c r="M53" s="17"/>
      <c r="N53" s="17"/>
      <c r="O53" s="17"/>
      <c r="P53" s="17"/>
      <c r="Q53" s="17"/>
      <c r="R53" s="17"/>
      <c r="S53" s="17"/>
      <c r="T53" s="17"/>
      <c r="U53" s="17"/>
      <c r="V53" s="17"/>
      <c r="W53" s="17"/>
      <c r="X53" s="17"/>
      <c r="Y53" s="17"/>
      <c r="Z53" s="17"/>
      <c r="AA53" s="17"/>
      <c r="AB53" s="17"/>
    </row>
    <row r="54" ht="56.25" customHeight="1">
      <c r="A54" s="15">
        <v>14.0</v>
      </c>
      <c r="B54" s="18" t="s">
        <v>556</v>
      </c>
      <c r="C54" s="19"/>
      <c r="D54" s="20" t="s">
        <v>557</v>
      </c>
      <c r="E54" s="17"/>
      <c r="F54" s="17"/>
      <c r="G54" s="17"/>
      <c r="H54" s="17"/>
      <c r="I54" s="17"/>
      <c r="J54" s="17"/>
      <c r="K54" s="17"/>
      <c r="L54" s="17"/>
      <c r="M54" s="17"/>
      <c r="N54" s="17"/>
      <c r="O54" s="17"/>
      <c r="P54" s="17"/>
      <c r="Q54" s="17"/>
      <c r="R54" s="17"/>
      <c r="S54" s="17"/>
      <c r="T54" s="17"/>
      <c r="U54" s="17"/>
      <c r="V54" s="17"/>
      <c r="W54" s="17"/>
      <c r="X54" s="17"/>
      <c r="Y54" s="17"/>
      <c r="Z54" s="17"/>
      <c r="AA54" s="17"/>
      <c r="AB54" s="17"/>
    </row>
    <row r="55" ht="56.25" customHeight="1">
      <c r="A55" s="15"/>
      <c r="B55" s="22" t="s">
        <v>558</v>
      </c>
      <c r="C55" s="19"/>
      <c r="E55" s="17"/>
      <c r="F55" s="17"/>
      <c r="G55" s="17"/>
      <c r="H55" s="17"/>
      <c r="I55" s="17"/>
      <c r="J55" s="17"/>
      <c r="K55" s="17"/>
      <c r="L55" s="17"/>
      <c r="M55" s="17"/>
      <c r="N55" s="17"/>
      <c r="O55" s="17"/>
      <c r="P55" s="17"/>
      <c r="Q55" s="17"/>
      <c r="R55" s="17"/>
      <c r="S55" s="17"/>
      <c r="T55" s="17"/>
      <c r="U55" s="17"/>
      <c r="V55" s="17"/>
      <c r="W55" s="17"/>
      <c r="X55" s="17"/>
      <c r="Y55" s="17"/>
      <c r="Z55" s="17"/>
      <c r="AA55" s="17"/>
      <c r="AB55" s="17"/>
    </row>
    <row r="56" ht="56.25" customHeight="1">
      <c r="A56" s="15"/>
      <c r="B56" s="22" t="s">
        <v>559</v>
      </c>
      <c r="C56" s="19"/>
      <c r="E56" s="17"/>
      <c r="F56" s="17"/>
      <c r="G56" s="17"/>
      <c r="H56" s="17"/>
      <c r="I56" s="17"/>
      <c r="J56" s="17"/>
      <c r="K56" s="17"/>
      <c r="L56" s="17"/>
      <c r="M56" s="17"/>
      <c r="N56" s="17"/>
      <c r="O56" s="17"/>
      <c r="P56" s="17"/>
      <c r="Q56" s="17"/>
      <c r="R56" s="17"/>
      <c r="S56" s="17"/>
      <c r="T56" s="17"/>
      <c r="U56" s="17"/>
      <c r="V56" s="17"/>
      <c r="W56" s="17"/>
      <c r="X56" s="17"/>
      <c r="Y56" s="17"/>
      <c r="Z56" s="17"/>
      <c r="AA56" s="17"/>
      <c r="AB56" s="17"/>
    </row>
    <row r="57" ht="56.25" customHeight="1">
      <c r="A57" s="26"/>
      <c r="B57" s="23"/>
      <c r="C57" s="19"/>
      <c r="D57" s="23"/>
      <c r="E57" s="17"/>
      <c r="F57" s="17"/>
      <c r="G57" s="17"/>
      <c r="H57" s="17"/>
      <c r="I57" s="17"/>
      <c r="J57" s="17"/>
      <c r="K57" s="17"/>
      <c r="L57" s="17"/>
      <c r="M57" s="17"/>
      <c r="N57" s="17"/>
      <c r="O57" s="17"/>
      <c r="P57" s="17"/>
      <c r="Q57" s="17"/>
      <c r="R57" s="17"/>
      <c r="S57" s="17"/>
      <c r="T57" s="17"/>
      <c r="U57" s="17"/>
      <c r="V57" s="17"/>
      <c r="W57" s="17"/>
      <c r="X57" s="17"/>
      <c r="Y57" s="17"/>
      <c r="Z57" s="17"/>
      <c r="AA57" s="17"/>
      <c r="AB57" s="17"/>
    </row>
    <row r="58" ht="56.25" customHeight="1">
      <c r="A58" s="15">
        <v>15.0</v>
      </c>
      <c r="B58" s="18" t="s">
        <v>560</v>
      </c>
      <c r="C58" s="19"/>
      <c r="D58" s="20" t="s">
        <v>561</v>
      </c>
      <c r="E58" s="17"/>
      <c r="F58" s="17"/>
      <c r="G58" s="17"/>
      <c r="H58" s="17"/>
      <c r="I58" s="17"/>
      <c r="J58" s="17"/>
      <c r="K58" s="17"/>
      <c r="L58" s="17"/>
      <c r="M58" s="17"/>
      <c r="N58" s="17"/>
      <c r="O58" s="17"/>
      <c r="P58" s="17"/>
      <c r="Q58" s="17"/>
      <c r="R58" s="17"/>
      <c r="S58" s="17"/>
      <c r="T58" s="17"/>
      <c r="U58" s="17"/>
      <c r="V58" s="17"/>
      <c r="W58" s="17"/>
      <c r="X58" s="17"/>
      <c r="Y58" s="17"/>
      <c r="Z58" s="17"/>
      <c r="AA58" s="17"/>
      <c r="AB58" s="17"/>
    </row>
    <row r="59" ht="56.25" customHeight="1">
      <c r="A59" s="15"/>
      <c r="B59" s="22" t="s">
        <v>562</v>
      </c>
      <c r="C59" s="19"/>
      <c r="E59" s="17"/>
      <c r="F59" s="17"/>
      <c r="G59" s="17"/>
      <c r="H59" s="17"/>
      <c r="I59" s="17"/>
      <c r="J59" s="17"/>
      <c r="K59" s="17"/>
      <c r="L59" s="17"/>
      <c r="M59" s="17"/>
      <c r="N59" s="17"/>
      <c r="O59" s="17"/>
      <c r="P59" s="17"/>
      <c r="Q59" s="17"/>
      <c r="R59" s="17"/>
      <c r="S59" s="17"/>
      <c r="T59" s="17"/>
      <c r="U59" s="17"/>
      <c r="V59" s="17"/>
      <c r="W59" s="17"/>
      <c r="X59" s="17"/>
      <c r="Y59" s="17"/>
      <c r="Z59" s="17"/>
      <c r="AA59" s="17"/>
      <c r="AB59" s="17"/>
    </row>
    <row r="60" ht="56.25" customHeight="1">
      <c r="A60" s="15"/>
      <c r="B60" s="22" t="s">
        <v>563</v>
      </c>
      <c r="C60" s="19"/>
      <c r="E60" s="17"/>
      <c r="F60" s="17"/>
      <c r="G60" s="17"/>
      <c r="H60" s="17"/>
      <c r="I60" s="17"/>
      <c r="J60" s="17"/>
      <c r="K60" s="17"/>
      <c r="L60" s="17"/>
      <c r="M60" s="17"/>
      <c r="N60" s="17"/>
      <c r="O60" s="17"/>
      <c r="P60" s="17"/>
      <c r="Q60" s="17"/>
      <c r="R60" s="17"/>
      <c r="S60" s="17"/>
      <c r="T60" s="17"/>
      <c r="U60" s="17"/>
      <c r="V60" s="17"/>
      <c r="W60" s="17"/>
      <c r="X60" s="17"/>
      <c r="Y60" s="17"/>
      <c r="Z60" s="17"/>
      <c r="AA60" s="17"/>
      <c r="AB60" s="17"/>
    </row>
    <row r="61" ht="56.25" customHeight="1">
      <c r="A61" s="26"/>
      <c r="B61" s="23"/>
      <c r="C61" s="19"/>
      <c r="D61" s="23"/>
      <c r="E61" s="17"/>
      <c r="F61" s="17"/>
      <c r="G61" s="17"/>
      <c r="H61" s="17"/>
      <c r="I61" s="17"/>
      <c r="J61" s="17"/>
      <c r="K61" s="17"/>
      <c r="L61" s="17"/>
      <c r="M61" s="17"/>
      <c r="N61" s="17"/>
      <c r="O61" s="17"/>
      <c r="P61" s="17"/>
      <c r="Q61" s="17"/>
      <c r="R61" s="17"/>
      <c r="S61" s="17"/>
      <c r="T61" s="17"/>
      <c r="U61" s="17"/>
      <c r="V61" s="17"/>
      <c r="W61" s="17"/>
      <c r="X61" s="17"/>
      <c r="Y61" s="17"/>
      <c r="Z61" s="17"/>
      <c r="AA61" s="17"/>
      <c r="AB61" s="17"/>
    </row>
    <row r="62" ht="56.25" customHeight="1">
      <c r="A62" s="15">
        <v>16.0</v>
      </c>
      <c r="B62" s="18" t="s">
        <v>564</v>
      </c>
      <c r="C62" s="19"/>
      <c r="D62" s="20" t="s">
        <v>565</v>
      </c>
      <c r="E62" s="17"/>
      <c r="F62" s="17"/>
      <c r="G62" s="17"/>
      <c r="H62" s="17"/>
      <c r="I62" s="17"/>
      <c r="J62" s="17"/>
      <c r="K62" s="17"/>
      <c r="L62" s="17"/>
      <c r="M62" s="17"/>
      <c r="N62" s="17"/>
      <c r="O62" s="17"/>
      <c r="P62" s="17"/>
      <c r="Q62" s="17"/>
      <c r="R62" s="17"/>
      <c r="S62" s="17"/>
      <c r="T62" s="17"/>
      <c r="U62" s="17"/>
      <c r="V62" s="17"/>
      <c r="W62" s="17"/>
      <c r="X62" s="17"/>
      <c r="Y62" s="17"/>
      <c r="Z62" s="17"/>
      <c r="AA62" s="17"/>
      <c r="AB62" s="17"/>
    </row>
    <row r="63" ht="56.25" customHeight="1">
      <c r="A63" s="15"/>
      <c r="B63" s="22" t="s">
        <v>566</v>
      </c>
      <c r="C63" s="19"/>
      <c r="E63" s="17"/>
      <c r="F63" s="17"/>
      <c r="G63" s="17"/>
      <c r="H63" s="17"/>
      <c r="I63" s="17"/>
      <c r="J63" s="17"/>
      <c r="K63" s="17"/>
      <c r="L63" s="17"/>
      <c r="M63" s="17"/>
      <c r="N63" s="17"/>
      <c r="O63" s="17"/>
      <c r="P63" s="17"/>
      <c r="Q63" s="17"/>
      <c r="R63" s="17"/>
      <c r="S63" s="17"/>
      <c r="T63" s="17"/>
      <c r="U63" s="17"/>
      <c r="V63" s="17"/>
      <c r="W63" s="17"/>
      <c r="X63" s="17"/>
      <c r="Y63" s="17"/>
      <c r="Z63" s="17"/>
      <c r="AA63" s="17"/>
      <c r="AB63" s="17"/>
    </row>
    <row r="64" ht="56.25" customHeight="1">
      <c r="A64" s="15"/>
      <c r="B64" s="22" t="s">
        <v>567</v>
      </c>
      <c r="C64" s="19"/>
      <c r="E64" s="17"/>
      <c r="F64" s="17"/>
      <c r="G64" s="17"/>
      <c r="H64" s="17"/>
      <c r="I64" s="17"/>
      <c r="J64" s="17"/>
      <c r="K64" s="17"/>
      <c r="L64" s="17"/>
      <c r="M64" s="17"/>
      <c r="N64" s="17"/>
      <c r="O64" s="17"/>
      <c r="P64" s="17"/>
      <c r="Q64" s="17"/>
      <c r="R64" s="17"/>
      <c r="S64" s="17"/>
      <c r="T64" s="17"/>
      <c r="U64" s="17"/>
      <c r="V64" s="17"/>
      <c r="W64" s="17"/>
      <c r="X64" s="17"/>
      <c r="Y64" s="17"/>
      <c r="Z64" s="17"/>
      <c r="AA64" s="17"/>
      <c r="AB64" s="17"/>
    </row>
    <row r="65" ht="56.25" customHeight="1">
      <c r="A65" s="26"/>
      <c r="B65" s="23"/>
      <c r="C65" s="19"/>
      <c r="D65" s="23"/>
      <c r="E65" s="17"/>
      <c r="F65" s="17"/>
      <c r="G65" s="17"/>
      <c r="H65" s="17"/>
      <c r="I65" s="17"/>
      <c r="J65" s="17"/>
      <c r="K65" s="17"/>
      <c r="L65" s="17"/>
      <c r="M65" s="17"/>
      <c r="N65" s="17"/>
      <c r="O65" s="17"/>
      <c r="P65" s="17"/>
      <c r="Q65" s="17"/>
      <c r="R65" s="17"/>
      <c r="S65" s="17"/>
      <c r="T65" s="17"/>
      <c r="U65" s="17"/>
      <c r="V65" s="17"/>
      <c r="W65" s="17"/>
      <c r="X65" s="17"/>
      <c r="Y65" s="17"/>
      <c r="Z65" s="17"/>
      <c r="AA65" s="17"/>
      <c r="AB65" s="17"/>
    </row>
    <row r="66" ht="56.25" customHeight="1">
      <c r="A66" s="15">
        <v>17.0</v>
      </c>
      <c r="B66" s="18" t="s">
        <v>568</v>
      </c>
      <c r="C66" s="19"/>
      <c r="D66" s="20" t="s">
        <v>569</v>
      </c>
      <c r="E66" s="17"/>
      <c r="F66" s="17"/>
      <c r="G66" s="17"/>
      <c r="H66" s="17"/>
      <c r="I66" s="17"/>
      <c r="J66" s="17"/>
      <c r="K66" s="17"/>
      <c r="L66" s="17"/>
      <c r="M66" s="17"/>
      <c r="N66" s="17"/>
      <c r="O66" s="17"/>
      <c r="P66" s="17"/>
      <c r="Q66" s="17"/>
      <c r="R66" s="17"/>
      <c r="S66" s="17"/>
      <c r="T66" s="17"/>
      <c r="U66" s="17"/>
      <c r="V66" s="17"/>
      <c r="W66" s="17"/>
      <c r="X66" s="17"/>
      <c r="Y66" s="17"/>
      <c r="Z66" s="17"/>
      <c r="AA66" s="17"/>
      <c r="AB66" s="17"/>
    </row>
    <row r="67" ht="56.25" customHeight="1">
      <c r="A67" s="15"/>
      <c r="B67" s="22" t="s">
        <v>570</v>
      </c>
      <c r="C67" s="19"/>
      <c r="E67" s="17"/>
      <c r="F67" s="17"/>
      <c r="G67" s="17"/>
      <c r="H67" s="17"/>
      <c r="I67" s="17"/>
      <c r="J67" s="17"/>
      <c r="K67" s="17"/>
      <c r="L67" s="17"/>
      <c r="M67" s="17"/>
      <c r="N67" s="17"/>
      <c r="O67" s="17"/>
      <c r="P67" s="17"/>
      <c r="Q67" s="17"/>
      <c r="R67" s="17"/>
      <c r="S67" s="17"/>
      <c r="T67" s="17"/>
      <c r="U67" s="17"/>
      <c r="V67" s="17"/>
      <c r="W67" s="17"/>
      <c r="X67" s="17"/>
      <c r="Y67" s="17"/>
      <c r="Z67" s="17"/>
      <c r="AA67" s="17"/>
      <c r="AB67" s="17"/>
    </row>
    <row r="68" ht="56.25" customHeight="1">
      <c r="A68" s="15"/>
      <c r="B68" s="22" t="s">
        <v>571</v>
      </c>
      <c r="C68" s="19"/>
      <c r="E68" s="17"/>
      <c r="F68" s="17"/>
      <c r="G68" s="17"/>
      <c r="H68" s="17"/>
      <c r="I68" s="17"/>
      <c r="J68" s="17"/>
      <c r="K68" s="17"/>
      <c r="L68" s="17"/>
      <c r="M68" s="17"/>
      <c r="N68" s="17"/>
      <c r="O68" s="17"/>
      <c r="P68" s="17"/>
      <c r="Q68" s="17"/>
      <c r="R68" s="17"/>
      <c r="S68" s="17"/>
      <c r="T68" s="17"/>
      <c r="U68" s="17"/>
      <c r="V68" s="17"/>
      <c r="W68" s="17"/>
      <c r="X68" s="17"/>
      <c r="Y68" s="17"/>
      <c r="Z68" s="17"/>
      <c r="AA68" s="17"/>
      <c r="AB68" s="17"/>
    </row>
    <row r="69" ht="56.25" customHeight="1">
      <c r="A69" s="26"/>
      <c r="B69" s="23"/>
      <c r="C69" s="19"/>
      <c r="D69" s="23"/>
      <c r="E69" s="17"/>
      <c r="F69" s="17"/>
      <c r="G69" s="17"/>
      <c r="H69" s="17"/>
      <c r="I69" s="17"/>
      <c r="J69" s="17"/>
      <c r="K69" s="17"/>
      <c r="L69" s="17"/>
      <c r="M69" s="17"/>
      <c r="N69" s="17"/>
      <c r="O69" s="17"/>
      <c r="P69" s="17"/>
      <c r="Q69" s="17"/>
      <c r="R69" s="17"/>
      <c r="S69" s="17"/>
      <c r="T69" s="17"/>
      <c r="U69" s="17"/>
      <c r="V69" s="17"/>
      <c r="W69" s="17"/>
      <c r="X69" s="17"/>
      <c r="Y69" s="17"/>
      <c r="Z69" s="17"/>
      <c r="AA69" s="17"/>
      <c r="AB69" s="17"/>
    </row>
    <row r="70" ht="56.25" customHeight="1">
      <c r="A70" s="15">
        <v>18.0</v>
      </c>
      <c r="B70" s="18" t="s">
        <v>572</v>
      </c>
      <c r="C70" s="19"/>
      <c r="D70" s="20" t="s">
        <v>573</v>
      </c>
      <c r="E70" s="17"/>
      <c r="F70" s="17"/>
      <c r="G70" s="17"/>
      <c r="H70" s="17"/>
      <c r="I70" s="17"/>
      <c r="J70" s="17"/>
      <c r="K70" s="17"/>
      <c r="L70" s="17"/>
      <c r="M70" s="17"/>
      <c r="N70" s="17"/>
      <c r="O70" s="17"/>
      <c r="P70" s="17"/>
      <c r="Q70" s="17"/>
      <c r="R70" s="17"/>
      <c r="S70" s="17"/>
      <c r="T70" s="17"/>
      <c r="U70" s="17"/>
      <c r="V70" s="17"/>
      <c r="W70" s="17"/>
      <c r="X70" s="17"/>
      <c r="Y70" s="17"/>
      <c r="Z70" s="17"/>
      <c r="AA70" s="17"/>
      <c r="AB70" s="17"/>
    </row>
    <row r="71" ht="56.25" customHeight="1">
      <c r="A71" s="15"/>
      <c r="B71" s="22" t="s">
        <v>574</v>
      </c>
      <c r="C71" s="19"/>
      <c r="E71" s="17"/>
      <c r="F71" s="17"/>
      <c r="G71" s="17"/>
      <c r="H71" s="17"/>
      <c r="I71" s="17"/>
      <c r="J71" s="17"/>
      <c r="K71" s="17"/>
      <c r="L71" s="17"/>
      <c r="M71" s="17"/>
      <c r="N71" s="17"/>
      <c r="O71" s="17"/>
      <c r="P71" s="17"/>
      <c r="Q71" s="17"/>
      <c r="R71" s="17"/>
      <c r="S71" s="17"/>
      <c r="T71" s="17"/>
      <c r="U71" s="17"/>
      <c r="V71" s="17"/>
      <c r="W71" s="17"/>
      <c r="X71" s="17"/>
      <c r="Y71" s="17"/>
      <c r="Z71" s="17"/>
      <c r="AA71" s="17"/>
      <c r="AB71" s="17"/>
    </row>
    <row r="72" ht="56.25" customHeight="1">
      <c r="A72" s="15"/>
      <c r="B72" s="22" t="s">
        <v>575</v>
      </c>
      <c r="C72" s="19"/>
      <c r="E72" s="17"/>
      <c r="F72" s="17"/>
      <c r="G72" s="17"/>
      <c r="H72" s="17"/>
      <c r="I72" s="17"/>
      <c r="J72" s="17"/>
      <c r="K72" s="17"/>
      <c r="L72" s="17"/>
      <c r="M72" s="17"/>
      <c r="N72" s="17"/>
      <c r="O72" s="17"/>
      <c r="P72" s="17"/>
      <c r="Q72" s="17"/>
      <c r="R72" s="17"/>
      <c r="S72" s="17"/>
      <c r="T72" s="17"/>
      <c r="U72" s="17"/>
      <c r="V72" s="17"/>
      <c r="W72" s="17"/>
      <c r="X72" s="17"/>
      <c r="Y72" s="17"/>
      <c r="Z72" s="17"/>
      <c r="AA72" s="17"/>
      <c r="AB72" s="17"/>
    </row>
    <row r="73" ht="56.25" customHeight="1">
      <c r="A73" s="26"/>
      <c r="B73" s="23"/>
      <c r="C73" s="19"/>
      <c r="D73" s="23"/>
      <c r="E73" s="17"/>
      <c r="F73" s="17"/>
      <c r="G73" s="17"/>
      <c r="H73" s="17"/>
      <c r="I73" s="17"/>
      <c r="J73" s="17"/>
      <c r="K73" s="17"/>
      <c r="L73" s="17"/>
      <c r="M73" s="17"/>
      <c r="N73" s="17"/>
      <c r="O73" s="17"/>
      <c r="P73" s="17"/>
      <c r="Q73" s="17"/>
      <c r="R73" s="17"/>
      <c r="S73" s="17"/>
      <c r="T73" s="17"/>
      <c r="U73" s="17"/>
      <c r="V73" s="17"/>
      <c r="W73" s="17"/>
      <c r="X73" s="17"/>
      <c r="Y73" s="17"/>
      <c r="Z73" s="17"/>
      <c r="AA73" s="17"/>
      <c r="AB73" s="17"/>
    </row>
    <row r="74" ht="56.25" customHeight="1">
      <c r="A74" s="15">
        <v>19.0</v>
      </c>
      <c r="B74" s="18" t="s">
        <v>576</v>
      </c>
      <c r="C74" s="19"/>
      <c r="D74" s="20" t="s">
        <v>465</v>
      </c>
      <c r="E74" s="17"/>
      <c r="F74" s="17"/>
      <c r="G74" s="17"/>
      <c r="H74" s="17"/>
      <c r="I74" s="17"/>
      <c r="J74" s="17"/>
      <c r="K74" s="17"/>
      <c r="L74" s="17"/>
      <c r="M74" s="17"/>
      <c r="N74" s="17"/>
      <c r="O74" s="17"/>
      <c r="P74" s="17"/>
      <c r="Q74" s="17"/>
      <c r="R74" s="17"/>
      <c r="S74" s="17"/>
      <c r="T74" s="17"/>
      <c r="U74" s="17"/>
      <c r="V74" s="17"/>
      <c r="W74" s="17"/>
      <c r="X74" s="17"/>
      <c r="Y74" s="17"/>
      <c r="Z74" s="17"/>
      <c r="AA74" s="17"/>
      <c r="AB74" s="17"/>
    </row>
    <row r="75" ht="56.25" customHeight="1">
      <c r="A75" s="15"/>
      <c r="B75" s="22" t="s">
        <v>577</v>
      </c>
      <c r="C75" s="19"/>
      <c r="E75" s="17"/>
      <c r="F75" s="17"/>
      <c r="G75" s="17"/>
      <c r="H75" s="17"/>
      <c r="I75" s="17"/>
      <c r="J75" s="17"/>
      <c r="K75" s="17"/>
      <c r="L75" s="17"/>
      <c r="M75" s="17"/>
      <c r="N75" s="17"/>
      <c r="O75" s="17"/>
      <c r="P75" s="17"/>
      <c r="Q75" s="17"/>
      <c r="R75" s="17"/>
      <c r="S75" s="17"/>
      <c r="T75" s="17"/>
      <c r="U75" s="17"/>
      <c r="V75" s="17"/>
      <c r="W75" s="17"/>
      <c r="X75" s="17"/>
      <c r="Y75" s="17"/>
      <c r="Z75" s="17"/>
      <c r="AA75" s="17"/>
      <c r="AB75" s="17"/>
    </row>
    <row r="76" ht="56.25" customHeight="1">
      <c r="A76" s="15"/>
      <c r="B76" s="22" t="s">
        <v>578</v>
      </c>
      <c r="C76" s="19"/>
      <c r="E76" s="17"/>
      <c r="F76" s="17"/>
      <c r="G76" s="17"/>
      <c r="H76" s="17"/>
      <c r="I76" s="17"/>
      <c r="J76" s="17"/>
      <c r="K76" s="17"/>
      <c r="L76" s="17"/>
      <c r="M76" s="17"/>
      <c r="N76" s="17"/>
      <c r="O76" s="17"/>
      <c r="P76" s="17"/>
      <c r="Q76" s="17"/>
      <c r="R76" s="17"/>
      <c r="S76" s="17"/>
      <c r="T76" s="17"/>
      <c r="U76" s="17"/>
      <c r="V76" s="17"/>
      <c r="W76" s="17"/>
      <c r="X76" s="17"/>
      <c r="Y76" s="17"/>
      <c r="Z76" s="17"/>
      <c r="AA76" s="17"/>
      <c r="AB76" s="17"/>
    </row>
    <row r="77" ht="56.25" customHeight="1">
      <c r="A77" s="26"/>
      <c r="B77" s="23"/>
      <c r="C77" s="19"/>
      <c r="D77" s="23"/>
      <c r="E77" s="17"/>
      <c r="F77" s="17"/>
      <c r="G77" s="17"/>
      <c r="H77" s="17"/>
      <c r="I77" s="17"/>
      <c r="J77" s="17"/>
      <c r="K77" s="17"/>
      <c r="L77" s="17"/>
      <c r="M77" s="17"/>
      <c r="N77" s="17"/>
      <c r="O77" s="17"/>
      <c r="P77" s="17"/>
      <c r="Q77" s="17"/>
      <c r="R77" s="17"/>
      <c r="S77" s="17"/>
      <c r="T77" s="17"/>
      <c r="U77" s="17"/>
      <c r="V77" s="17"/>
      <c r="W77" s="17"/>
      <c r="X77" s="17"/>
      <c r="Y77" s="17"/>
      <c r="Z77" s="17"/>
      <c r="AA77" s="17"/>
      <c r="AB77" s="17"/>
    </row>
    <row r="78" ht="56.25" customHeight="1">
      <c r="A78" s="15">
        <v>20.0</v>
      </c>
      <c r="B78" s="18" t="s">
        <v>579</v>
      </c>
      <c r="C78" s="19"/>
      <c r="D78" s="20" t="s">
        <v>465</v>
      </c>
      <c r="E78" s="17"/>
      <c r="F78" s="17"/>
      <c r="G78" s="17"/>
      <c r="H78" s="17"/>
      <c r="I78" s="17"/>
      <c r="J78" s="17"/>
      <c r="K78" s="17"/>
      <c r="L78" s="17"/>
      <c r="M78" s="17"/>
      <c r="N78" s="17"/>
      <c r="O78" s="17"/>
      <c r="P78" s="17"/>
      <c r="Q78" s="17"/>
      <c r="R78" s="17"/>
      <c r="S78" s="17"/>
      <c r="T78" s="17"/>
      <c r="U78" s="17"/>
      <c r="V78" s="17"/>
      <c r="W78" s="17"/>
      <c r="X78" s="17"/>
      <c r="Y78" s="17"/>
      <c r="Z78" s="17"/>
      <c r="AA78" s="17"/>
      <c r="AB78" s="17"/>
    </row>
    <row r="79" ht="56.25" customHeight="1">
      <c r="A79" s="15"/>
      <c r="B79" s="22" t="s">
        <v>580</v>
      </c>
      <c r="C79" s="19"/>
      <c r="E79" s="17"/>
      <c r="F79" s="17"/>
      <c r="G79" s="17"/>
      <c r="H79" s="17"/>
      <c r="I79" s="17"/>
      <c r="J79" s="17"/>
      <c r="K79" s="17"/>
      <c r="L79" s="17"/>
      <c r="M79" s="17"/>
      <c r="N79" s="17"/>
      <c r="O79" s="17"/>
      <c r="P79" s="17"/>
      <c r="Q79" s="17"/>
      <c r="R79" s="17"/>
      <c r="S79" s="17"/>
      <c r="T79" s="17"/>
      <c r="U79" s="17"/>
      <c r="V79" s="17"/>
      <c r="W79" s="17"/>
      <c r="X79" s="17"/>
      <c r="Y79" s="17"/>
      <c r="Z79" s="17"/>
      <c r="AA79" s="17"/>
      <c r="AB79" s="17"/>
    </row>
    <row r="80" ht="56.25" customHeight="1">
      <c r="A80" s="15"/>
      <c r="B80" s="22" t="s">
        <v>581</v>
      </c>
      <c r="C80" s="19"/>
      <c r="E80" s="17"/>
      <c r="F80" s="17"/>
      <c r="G80" s="17"/>
      <c r="H80" s="17"/>
      <c r="I80" s="17"/>
      <c r="J80" s="17"/>
      <c r="K80" s="17"/>
      <c r="L80" s="17"/>
      <c r="M80" s="17"/>
      <c r="N80" s="17"/>
      <c r="O80" s="17"/>
      <c r="P80" s="17"/>
      <c r="Q80" s="17"/>
      <c r="R80" s="17"/>
      <c r="S80" s="17"/>
      <c r="T80" s="17"/>
      <c r="U80" s="17"/>
      <c r="V80" s="17"/>
      <c r="W80" s="17"/>
      <c r="X80" s="17"/>
      <c r="Y80" s="17"/>
      <c r="Z80" s="17"/>
      <c r="AA80" s="17"/>
      <c r="AB80" s="17"/>
    </row>
    <row r="81" ht="56.25" customHeight="1">
      <c r="A81" s="26"/>
      <c r="B81" s="23"/>
      <c r="C81" s="19"/>
      <c r="D81" s="23"/>
      <c r="E81" s="17"/>
      <c r="F81" s="17"/>
      <c r="G81" s="17"/>
      <c r="H81" s="17"/>
      <c r="I81" s="17"/>
      <c r="J81" s="17"/>
      <c r="K81" s="17"/>
      <c r="L81" s="17"/>
      <c r="M81" s="17"/>
      <c r="N81" s="17"/>
      <c r="O81" s="17"/>
      <c r="P81" s="17"/>
      <c r="Q81" s="17"/>
      <c r="R81" s="17"/>
      <c r="S81" s="17"/>
      <c r="T81" s="17"/>
      <c r="U81" s="17"/>
      <c r="V81" s="17"/>
      <c r="W81" s="17"/>
      <c r="X81" s="17"/>
      <c r="Y81" s="17"/>
      <c r="Z81" s="17"/>
      <c r="AA81" s="17"/>
      <c r="AB81" s="17"/>
    </row>
    <row r="82" ht="56.25" customHeight="1">
      <c r="A82" s="15"/>
      <c r="B82" s="15" t="s">
        <v>582</v>
      </c>
      <c r="C82" s="19"/>
      <c r="D82" s="23"/>
      <c r="E82" s="17"/>
      <c r="F82" s="17"/>
      <c r="G82" s="17"/>
      <c r="H82" s="17"/>
      <c r="I82" s="17"/>
      <c r="J82" s="17"/>
      <c r="K82" s="17"/>
      <c r="L82" s="17"/>
      <c r="M82" s="17"/>
      <c r="N82" s="17"/>
      <c r="O82" s="17"/>
      <c r="P82" s="17"/>
      <c r="Q82" s="17"/>
      <c r="R82" s="17"/>
      <c r="S82" s="17"/>
      <c r="T82" s="17"/>
      <c r="U82" s="17"/>
      <c r="V82" s="17"/>
      <c r="W82" s="17"/>
      <c r="X82" s="17"/>
      <c r="Y82" s="17"/>
      <c r="Z82" s="17"/>
      <c r="AA82" s="17"/>
      <c r="AB82" s="17"/>
    </row>
    <row r="83" ht="56.25" customHeight="1">
      <c r="A83" s="15">
        <v>1.0</v>
      </c>
      <c r="B83" s="18" t="s">
        <v>583</v>
      </c>
      <c r="C83" s="19"/>
      <c r="D83" s="20" t="s">
        <v>584</v>
      </c>
      <c r="E83" s="17"/>
      <c r="F83" s="17"/>
      <c r="G83" s="17"/>
      <c r="H83" s="17"/>
      <c r="I83" s="17"/>
      <c r="J83" s="17"/>
      <c r="K83" s="17"/>
      <c r="L83" s="17"/>
      <c r="M83" s="17"/>
      <c r="N83" s="17"/>
      <c r="O83" s="17"/>
      <c r="P83" s="17"/>
      <c r="Q83" s="17"/>
      <c r="R83" s="17"/>
      <c r="S83" s="17"/>
      <c r="T83" s="17"/>
      <c r="U83" s="17"/>
      <c r="V83" s="17"/>
      <c r="W83" s="17"/>
      <c r="X83" s="17"/>
      <c r="Y83" s="17"/>
      <c r="Z83" s="17"/>
      <c r="AA83" s="17"/>
      <c r="AB83" s="17"/>
    </row>
    <row r="84" ht="56.25" customHeight="1">
      <c r="A84" s="15"/>
      <c r="B84" s="22" t="s">
        <v>585</v>
      </c>
      <c r="C84" s="19"/>
      <c r="E84" s="17"/>
      <c r="F84" s="17"/>
      <c r="G84" s="17"/>
      <c r="H84" s="17"/>
      <c r="I84" s="17"/>
      <c r="J84" s="17"/>
      <c r="K84" s="17"/>
      <c r="L84" s="17"/>
      <c r="M84" s="17"/>
      <c r="N84" s="17"/>
      <c r="O84" s="17"/>
      <c r="P84" s="17"/>
      <c r="Q84" s="17"/>
      <c r="R84" s="17"/>
      <c r="S84" s="17"/>
      <c r="T84" s="17"/>
      <c r="U84" s="17"/>
      <c r="V84" s="17"/>
      <c r="W84" s="17"/>
      <c r="X84" s="17"/>
      <c r="Y84" s="17"/>
      <c r="Z84" s="17"/>
      <c r="AA84" s="17"/>
      <c r="AB84" s="17"/>
    </row>
    <row r="85" ht="56.25" customHeight="1">
      <c r="A85" s="15"/>
      <c r="B85" s="22"/>
      <c r="C85" s="19"/>
      <c r="E85" s="17"/>
      <c r="F85" s="17"/>
      <c r="G85" s="17"/>
      <c r="H85" s="17"/>
      <c r="I85" s="17"/>
      <c r="J85" s="17"/>
      <c r="K85" s="17"/>
      <c r="L85" s="17"/>
      <c r="M85" s="17"/>
      <c r="N85" s="17"/>
      <c r="O85" s="17"/>
      <c r="P85" s="17"/>
      <c r="Q85" s="17"/>
      <c r="R85" s="17"/>
      <c r="S85" s="17"/>
      <c r="T85" s="17"/>
      <c r="U85" s="17"/>
      <c r="V85" s="17"/>
      <c r="W85" s="17"/>
      <c r="X85" s="17"/>
      <c r="Y85" s="17"/>
      <c r="Z85" s="17"/>
      <c r="AA85" s="17"/>
      <c r="AB85" s="17"/>
    </row>
    <row r="86" ht="56.25" customHeight="1">
      <c r="A86" s="26"/>
      <c r="B86" s="23"/>
      <c r="C86" s="19"/>
      <c r="D86" s="23"/>
      <c r="E86" s="17"/>
      <c r="F86" s="17"/>
      <c r="G86" s="17"/>
      <c r="H86" s="17"/>
      <c r="I86" s="17"/>
      <c r="J86" s="17"/>
      <c r="K86" s="17"/>
      <c r="L86" s="17"/>
      <c r="M86" s="17"/>
      <c r="N86" s="17"/>
      <c r="O86" s="17"/>
      <c r="P86" s="17"/>
      <c r="Q86" s="17"/>
      <c r="R86" s="17"/>
      <c r="S86" s="17"/>
      <c r="T86" s="17"/>
      <c r="U86" s="17"/>
      <c r="V86" s="17"/>
      <c r="W86" s="17"/>
      <c r="X86" s="17"/>
      <c r="Y86" s="17"/>
      <c r="Z86" s="17"/>
      <c r="AA86" s="17"/>
      <c r="AB86" s="17"/>
    </row>
    <row r="87" ht="56.25" customHeight="1">
      <c r="A87" s="15">
        <v>2.0</v>
      </c>
      <c r="B87" s="18" t="s">
        <v>586</v>
      </c>
      <c r="C87" s="19"/>
      <c r="D87" s="20" t="s">
        <v>587</v>
      </c>
      <c r="E87" s="17"/>
      <c r="F87" s="17"/>
      <c r="G87" s="17"/>
      <c r="H87" s="17"/>
      <c r="I87" s="17"/>
      <c r="J87" s="17"/>
      <c r="K87" s="17"/>
      <c r="L87" s="17"/>
      <c r="M87" s="17"/>
      <c r="N87" s="17"/>
      <c r="O87" s="17"/>
      <c r="P87" s="17"/>
      <c r="Q87" s="17"/>
      <c r="R87" s="17"/>
      <c r="S87" s="17"/>
      <c r="T87" s="17"/>
      <c r="U87" s="17"/>
      <c r="V87" s="17"/>
      <c r="W87" s="17"/>
      <c r="X87" s="17"/>
      <c r="Y87" s="17"/>
      <c r="Z87" s="17"/>
      <c r="AA87" s="17"/>
      <c r="AB87" s="17"/>
    </row>
    <row r="88" ht="56.25" customHeight="1">
      <c r="A88" s="15"/>
      <c r="B88" s="28" t="s">
        <v>588</v>
      </c>
      <c r="C88" s="19"/>
      <c r="E88" s="17"/>
      <c r="F88" s="17"/>
      <c r="G88" s="17"/>
      <c r="H88" s="17"/>
      <c r="I88" s="17"/>
      <c r="J88" s="17"/>
      <c r="K88" s="17"/>
      <c r="L88" s="17"/>
      <c r="M88" s="17"/>
      <c r="N88" s="17"/>
      <c r="O88" s="17"/>
      <c r="P88" s="17"/>
      <c r="Q88" s="17"/>
      <c r="R88" s="17"/>
      <c r="S88" s="17"/>
      <c r="T88" s="17"/>
      <c r="U88" s="17"/>
      <c r="V88" s="17"/>
      <c r="W88" s="17"/>
      <c r="X88" s="17"/>
      <c r="Y88" s="17"/>
      <c r="Z88" s="17"/>
      <c r="AA88" s="17"/>
      <c r="AB88" s="17"/>
    </row>
    <row r="89" ht="56.25" customHeight="1">
      <c r="A89" s="15"/>
      <c r="B89" s="28"/>
      <c r="C89" s="19"/>
      <c r="E89" s="17"/>
      <c r="F89" s="17"/>
      <c r="G89" s="17"/>
      <c r="H89" s="17"/>
      <c r="I89" s="17"/>
      <c r="J89" s="17"/>
      <c r="K89" s="17"/>
      <c r="L89" s="17"/>
      <c r="M89" s="17"/>
      <c r="N89" s="17"/>
      <c r="O89" s="17"/>
      <c r="P89" s="17"/>
      <c r="Q89" s="17"/>
      <c r="R89" s="17"/>
      <c r="S89" s="17"/>
      <c r="T89" s="17"/>
      <c r="U89" s="17"/>
      <c r="V89" s="17"/>
      <c r="W89" s="17"/>
      <c r="X89" s="17"/>
      <c r="Y89" s="17"/>
      <c r="Z89" s="17"/>
      <c r="AA89" s="17"/>
      <c r="AB89" s="17"/>
    </row>
    <row r="90" ht="56.25" customHeight="1">
      <c r="A90" s="26"/>
      <c r="B90" s="23"/>
      <c r="C90" s="19"/>
      <c r="D90" s="23"/>
      <c r="E90" s="17"/>
      <c r="F90" s="17"/>
      <c r="G90" s="17"/>
      <c r="H90" s="17"/>
      <c r="I90" s="17"/>
      <c r="J90" s="17"/>
      <c r="K90" s="17"/>
      <c r="L90" s="17"/>
      <c r="M90" s="17"/>
      <c r="N90" s="17"/>
      <c r="O90" s="17"/>
      <c r="P90" s="17"/>
      <c r="Q90" s="17"/>
      <c r="R90" s="17"/>
      <c r="S90" s="17"/>
      <c r="T90" s="17"/>
      <c r="U90" s="17"/>
      <c r="V90" s="17"/>
      <c r="W90" s="17"/>
      <c r="X90" s="17"/>
      <c r="Y90" s="17"/>
      <c r="Z90" s="17"/>
      <c r="AA90" s="17"/>
      <c r="AB90" s="17"/>
    </row>
    <row r="91" ht="56.25" customHeight="1">
      <c r="A91" s="15"/>
      <c r="B91" s="18"/>
      <c r="C91" s="19"/>
      <c r="D91" s="23"/>
      <c r="E91" s="17"/>
      <c r="F91" s="17"/>
      <c r="G91" s="17"/>
      <c r="H91" s="17"/>
      <c r="I91" s="17"/>
      <c r="J91" s="17"/>
      <c r="K91" s="17"/>
      <c r="L91" s="17"/>
      <c r="M91" s="17"/>
      <c r="N91" s="17"/>
      <c r="O91" s="17"/>
      <c r="P91" s="17"/>
      <c r="Q91" s="17"/>
      <c r="R91" s="17"/>
      <c r="S91" s="17"/>
      <c r="T91" s="17"/>
      <c r="U91" s="17"/>
      <c r="V91" s="17"/>
      <c r="W91" s="17"/>
      <c r="X91" s="17"/>
      <c r="Y91" s="17"/>
      <c r="Z91" s="17"/>
      <c r="AA91" s="17"/>
      <c r="AB91" s="17"/>
    </row>
    <row r="92" ht="56.25" customHeight="1">
      <c r="A92" s="15"/>
      <c r="B92" s="22"/>
      <c r="C92" s="19"/>
      <c r="E92" s="17"/>
      <c r="F92" s="17"/>
      <c r="G92" s="17"/>
      <c r="H92" s="17"/>
      <c r="I92" s="17"/>
      <c r="J92" s="17"/>
      <c r="K92" s="17"/>
      <c r="L92" s="17"/>
      <c r="M92" s="17"/>
      <c r="N92" s="17"/>
      <c r="O92" s="17"/>
      <c r="P92" s="17"/>
      <c r="Q92" s="17"/>
      <c r="R92" s="17"/>
      <c r="S92" s="17"/>
      <c r="T92" s="17"/>
      <c r="U92" s="17"/>
      <c r="V92" s="17"/>
      <c r="W92" s="17"/>
      <c r="X92" s="17"/>
      <c r="Y92" s="17"/>
      <c r="Z92" s="17"/>
      <c r="AA92" s="17"/>
      <c r="AB92" s="17"/>
    </row>
    <row r="93" ht="56.25" customHeight="1">
      <c r="A93" s="15"/>
      <c r="B93" s="22"/>
      <c r="C93" s="19"/>
      <c r="E93" s="17"/>
      <c r="F93" s="17"/>
      <c r="G93" s="17"/>
      <c r="H93" s="17"/>
      <c r="I93" s="17"/>
      <c r="J93" s="17"/>
      <c r="K93" s="17"/>
      <c r="L93" s="17"/>
      <c r="M93" s="17"/>
      <c r="N93" s="17"/>
      <c r="O93" s="17"/>
      <c r="P93" s="17"/>
      <c r="Q93" s="17"/>
      <c r="R93" s="17"/>
      <c r="S93" s="17"/>
      <c r="T93" s="17"/>
      <c r="U93" s="17"/>
      <c r="V93" s="17"/>
      <c r="W93" s="17"/>
      <c r="X93" s="17"/>
      <c r="Y93" s="17"/>
      <c r="Z93" s="17"/>
      <c r="AA93" s="17"/>
      <c r="AB93" s="17"/>
    </row>
    <row r="94" ht="56.25" customHeight="1">
      <c r="A94" s="26"/>
      <c r="B94" s="23"/>
      <c r="C94" s="19"/>
      <c r="D94" s="23"/>
      <c r="E94" s="17"/>
      <c r="F94" s="17"/>
      <c r="G94" s="17"/>
      <c r="H94" s="17"/>
      <c r="I94" s="17"/>
      <c r="J94" s="17"/>
      <c r="K94" s="17"/>
      <c r="L94" s="17"/>
      <c r="M94" s="17"/>
      <c r="N94" s="17"/>
      <c r="O94" s="17"/>
      <c r="P94" s="17"/>
      <c r="Q94" s="17"/>
      <c r="R94" s="17"/>
      <c r="S94" s="17"/>
      <c r="T94" s="17"/>
      <c r="U94" s="17"/>
      <c r="V94" s="17"/>
      <c r="W94" s="17"/>
      <c r="X94" s="17"/>
      <c r="Y94" s="17"/>
      <c r="Z94" s="17"/>
      <c r="AA94" s="17"/>
      <c r="AB94" s="17"/>
    </row>
    <row r="95" ht="56.25" customHeight="1">
      <c r="A95" s="15">
        <v>4.0</v>
      </c>
      <c r="B95" s="18" t="s">
        <v>589</v>
      </c>
      <c r="C95" s="19"/>
      <c r="D95" s="20" t="s">
        <v>590</v>
      </c>
      <c r="E95" s="17"/>
      <c r="F95" s="17"/>
      <c r="G95" s="17"/>
      <c r="H95" s="17"/>
      <c r="I95" s="17"/>
      <c r="J95" s="17"/>
      <c r="K95" s="17"/>
      <c r="L95" s="17"/>
      <c r="M95" s="17"/>
      <c r="N95" s="17"/>
      <c r="O95" s="17"/>
      <c r="P95" s="17"/>
      <c r="Q95" s="17"/>
      <c r="R95" s="17"/>
      <c r="S95" s="17"/>
      <c r="T95" s="17"/>
      <c r="U95" s="17"/>
      <c r="V95" s="17"/>
      <c r="W95" s="17"/>
      <c r="X95" s="17"/>
      <c r="Y95" s="17"/>
      <c r="Z95" s="17"/>
      <c r="AA95" s="17"/>
      <c r="AB95" s="17"/>
    </row>
    <row r="96" ht="56.25" customHeight="1">
      <c r="A96" s="15"/>
      <c r="B96" s="22" t="s">
        <v>591</v>
      </c>
      <c r="C96" s="19"/>
      <c r="E96" s="17"/>
      <c r="F96" s="17"/>
      <c r="G96" s="17"/>
      <c r="H96" s="17"/>
      <c r="I96" s="17"/>
      <c r="J96" s="17"/>
      <c r="K96" s="17"/>
      <c r="L96" s="17"/>
      <c r="M96" s="17"/>
      <c r="N96" s="17"/>
      <c r="O96" s="17"/>
      <c r="P96" s="17"/>
      <c r="Q96" s="17"/>
      <c r="R96" s="17"/>
      <c r="S96" s="17"/>
      <c r="T96" s="17"/>
      <c r="U96" s="17"/>
      <c r="V96" s="17"/>
      <c r="W96" s="17"/>
      <c r="X96" s="17"/>
      <c r="Y96" s="17"/>
      <c r="Z96" s="17"/>
      <c r="AA96" s="17"/>
      <c r="AB96" s="17"/>
    </row>
    <row r="97" ht="56.25" customHeight="1">
      <c r="A97" s="15"/>
      <c r="B97" s="22"/>
      <c r="C97" s="19"/>
      <c r="E97" s="17"/>
      <c r="F97" s="17"/>
      <c r="G97" s="17"/>
      <c r="H97" s="17"/>
      <c r="I97" s="17"/>
      <c r="J97" s="17"/>
      <c r="K97" s="17"/>
      <c r="L97" s="17"/>
      <c r="M97" s="17"/>
      <c r="N97" s="17"/>
      <c r="O97" s="17"/>
      <c r="P97" s="17"/>
      <c r="Q97" s="17"/>
      <c r="R97" s="17"/>
      <c r="S97" s="17"/>
      <c r="T97" s="17"/>
      <c r="U97" s="17"/>
      <c r="V97" s="17"/>
      <c r="W97" s="17"/>
      <c r="X97" s="17"/>
      <c r="Y97" s="17"/>
      <c r="Z97" s="17"/>
      <c r="AA97" s="17"/>
      <c r="AB97" s="17"/>
    </row>
    <row r="98" ht="56.25" customHeight="1">
      <c r="A98" s="26"/>
      <c r="B98" s="23"/>
      <c r="C98" s="19"/>
      <c r="D98" s="23"/>
      <c r="E98" s="17"/>
      <c r="F98" s="17"/>
      <c r="G98" s="17"/>
      <c r="H98" s="17"/>
      <c r="I98" s="17"/>
      <c r="J98" s="17"/>
      <c r="K98" s="17"/>
      <c r="L98" s="17"/>
      <c r="M98" s="17"/>
      <c r="N98" s="17"/>
      <c r="O98" s="17"/>
      <c r="P98" s="17"/>
      <c r="Q98" s="17"/>
      <c r="R98" s="17"/>
      <c r="S98" s="17"/>
      <c r="T98" s="17"/>
      <c r="U98" s="17"/>
      <c r="V98" s="17"/>
      <c r="W98" s="17"/>
      <c r="X98" s="17"/>
      <c r="Y98" s="17"/>
      <c r="Z98" s="17"/>
      <c r="AA98" s="17"/>
      <c r="AB98" s="17"/>
    </row>
    <row r="99" ht="56.25" customHeight="1">
      <c r="A99" s="15">
        <v>5.0</v>
      </c>
      <c r="B99" s="18" t="s">
        <v>592</v>
      </c>
      <c r="C99" s="19"/>
      <c r="D99" s="20" t="s">
        <v>593</v>
      </c>
      <c r="E99" s="17"/>
      <c r="F99" s="17"/>
      <c r="G99" s="17"/>
      <c r="H99" s="17"/>
      <c r="I99" s="17"/>
      <c r="J99" s="17"/>
      <c r="K99" s="17"/>
      <c r="L99" s="17"/>
      <c r="M99" s="17"/>
      <c r="N99" s="17"/>
      <c r="O99" s="17"/>
      <c r="P99" s="17"/>
      <c r="Q99" s="17"/>
      <c r="R99" s="17"/>
      <c r="S99" s="17"/>
      <c r="T99" s="17"/>
      <c r="U99" s="17"/>
      <c r="V99" s="17"/>
      <c r="W99" s="17"/>
      <c r="X99" s="17"/>
      <c r="Y99" s="17"/>
      <c r="Z99" s="17"/>
      <c r="AA99" s="17"/>
      <c r="AB99" s="17"/>
    </row>
    <row r="100" ht="56.25" customHeight="1">
      <c r="A100" s="15"/>
      <c r="B100" s="22" t="s">
        <v>594</v>
      </c>
      <c r="C100" s="19"/>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ht="56.25" customHeight="1">
      <c r="A101" s="15"/>
      <c r="B101" s="22"/>
      <c r="C101" s="19"/>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ht="56.25" customHeight="1">
      <c r="A102" s="26"/>
      <c r="B102" s="23"/>
      <c r="C102" s="19"/>
      <c r="D102" s="23"/>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ht="56.25" customHeight="1">
      <c r="A103" s="15">
        <v>6.0</v>
      </c>
      <c r="B103" s="18" t="s">
        <v>595</v>
      </c>
      <c r="C103" s="19"/>
      <c r="D103" s="20" t="s">
        <v>596</v>
      </c>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ht="56.25" customHeight="1">
      <c r="A104" s="15"/>
      <c r="B104" s="22" t="s">
        <v>597</v>
      </c>
      <c r="C104" s="19"/>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ht="56.25" customHeight="1">
      <c r="A105" s="15"/>
      <c r="B105" s="22"/>
      <c r="C105" s="19"/>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ht="56.25" customHeight="1">
      <c r="A106" s="26"/>
      <c r="B106" s="23"/>
      <c r="C106" s="19"/>
      <c r="D106" s="23"/>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ht="56.25" customHeight="1">
      <c r="A107" s="15">
        <v>7.0</v>
      </c>
      <c r="B107" s="18" t="s">
        <v>598</v>
      </c>
      <c r="C107" s="19"/>
      <c r="D107" s="20" t="s">
        <v>599</v>
      </c>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ht="56.25" customHeight="1">
      <c r="A108" s="15"/>
      <c r="B108" s="22" t="s">
        <v>600</v>
      </c>
      <c r="C108" s="19"/>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ht="56.25" customHeight="1">
      <c r="A109" s="15"/>
      <c r="B109" s="22"/>
      <c r="C109" s="19"/>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ht="56.25" customHeight="1">
      <c r="A110" s="26"/>
      <c r="B110" s="23"/>
      <c r="C110" s="19"/>
      <c r="D110" s="23"/>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ht="56.25" customHeight="1">
      <c r="A111" s="15">
        <v>8.0</v>
      </c>
      <c r="B111" s="18" t="s">
        <v>601</v>
      </c>
      <c r="C111" s="19"/>
      <c r="D111" s="20" t="s">
        <v>602</v>
      </c>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ht="56.25" customHeight="1">
      <c r="A112" s="15"/>
      <c r="B112" s="22" t="s">
        <v>603</v>
      </c>
      <c r="C112" s="19"/>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ht="56.25" customHeight="1">
      <c r="A113" s="15"/>
      <c r="B113" s="22"/>
      <c r="C113" s="19"/>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ht="56.25" customHeight="1">
      <c r="A114" s="26"/>
      <c r="B114" s="23"/>
      <c r="C114" s="19"/>
      <c r="D114" s="23"/>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ht="56.25" customHeight="1">
      <c r="A115" s="15">
        <v>9.0</v>
      </c>
      <c r="B115" s="18" t="s">
        <v>604</v>
      </c>
      <c r="C115" s="19"/>
      <c r="D115" s="20" t="s">
        <v>605</v>
      </c>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row>
    <row r="116" ht="56.25" customHeight="1">
      <c r="A116" s="15"/>
      <c r="B116" s="22" t="s">
        <v>606</v>
      </c>
      <c r="C116" s="19"/>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ht="56.25" customHeight="1">
      <c r="A117" s="15"/>
      <c r="B117" s="22"/>
      <c r="C117" s="19"/>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ht="56.25" customHeight="1">
      <c r="A118" s="26"/>
      <c r="B118" s="23"/>
      <c r="C118" s="19"/>
      <c r="D118" s="23"/>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ht="56.25" customHeight="1">
      <c r="A119" s="15">
        <v>10.0</v>
      </c>
      <c r="B119" s="18" t="s">
        <v>607</v>
      </c>
      <c r="C119" s="19"/>
      <c r="D119" s="20" t="s">
        <v>608</v>
      </c>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ht="56.25" customHeight="1">
      <c r="A120" s="15"/>
      <c r="B120" s="22" t="s">
        <v>609</v>
      </c>
      <c r="C120" s="19"/>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row>
    <row r="121" ht="56.25" customHeight="1">
      <c r="A121" s="15"/>
      <c r="B121" s="22"/>
      <c r="C121" s="19"/>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ht="56.25" customHeight="1">
      <c r="A122" s="26"/>
      <c r="B122" s="23"/>
      <c r="C122" s="19"/>
      <c r="D122" s="23"/>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ht="56.25" customHeight="1">
      <c r="A123" s="15"/>
      <c r="B123" s="18"/>
      <c r="C123" s="19"/>
      <c r="D123" s="23"/>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ht="56.25" customHeight="1">
      <c r="A124" s="15"/>
      <c r="B124" s="22"/>
      <c r="C124" s="19"/>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ht="56.25" customHeight="1">
      <c r="A125" s="15"/>
      <c r="B125" s="22"/>
      <c r="C125" s="19"/>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ht="56.25" customHeight="1">
      <c r="A126" s="26"/>
      <c r="B126" s="23"/>
      <c r="C126" s="19"/>
      <c r="D126" s="23"/>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ht="56.25" customHeight="1">
      <c r="A127" s="15"/>
      <c r="B127" s="18"/>
      <c r="C127" s="19"/>
      <c r="D127" s="23"/>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ht="56.25" customHeight="1">
      <c r="A128" s="15"/>
      <c r="B128" s="22"/>
      <c r="C128" s="19"/>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ht="56.25" customHeight="1">
      <c r="A129" s="15"/>
      <c r="B129" s="22"/>
      <c r="C129" s="19"/>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ht="56.25" customHeight="1">
      <c r="A130" s="26"/>
      <c r="B130" s="23"/>
      <c r="C130" s="19"/>
      <c r="D130" s="23"/>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ht="56.25" customHeight="1">
      <c r="A131" s="15"/>
      <c r="B131" s="18"/>
      <c r="C131" s="19"/>
      <c r="D131" s="23"/>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ht="56.25" customHeight="1">
      <c r="A132" s="15"/>
      <c r="B132" s="22"/>
      <c r="C132" s="19"/>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ht="56.25" customHeight="1">
      <c r="A133" s="15"/>
      <c r="B133" s="22"/>
      <c r="C133" s="19"/>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ht="56.25" customHeight="1">
      <c r="A134" s="26"/>
      <c r="B134" s="23"/>
      <c r="C134" s="19"/>
      <c r="D134" s="23"/>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ht="56.25" customHeight="1">
      <c r="A135" s="15"/>
      <c r="B135" s="18"/>
      <c r="C135" s="19"/>
      <c r="D135" s="23"/>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ht="56.25" customHeight="1">
      <c r="A136" s="15"/>
      <c r="B136" s="22"/>
      <c r="C136" s="19"/>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ht="56.25" customHeight="1">
      <c r="A137" s="15"/>
      <c r="B137" s="22"/>
      <c r="C137" s="19"/>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ht="56.25" customHeight="1">
      <c r="A138" s="26"/>
      <c r="B138" s="23"/>
      <c r="C138" s="19"/>
      <c r="D138" s="23"/>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ht="56.25" customHeight="1">
      <c r="A139" s="15"/>
      <c r="B139" s="18"/>
      <c r="C139" s="19"/>
      <c r="D139" s="23"/>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ht="56.25" customHeight="1">
      <c r="A140" s="15"/>
      <c r="B140" s="22"/>
      <c r="C140" s="19"/>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ht="56.25" customHeight="1">
      <c r="A141" s="15"/>
      <c r="B141" s="22"/>
      <c r="C141" s="19"/>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ht="56.25" customHeight="1">
      <c r="A142" s="26"/>
      <c r="B142" s="23"/>
      <c r="C142" s="19"/>
      <c r="D142" s="23"/>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ht="56.25" customHeight="1">
      <c r="A143" s="15"/>
      <c r="B143" s="18"/>
      <c r="C143" s="19"/>
      <c r="D143" s="23"/>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ht="56.25" customHeight="1">
      <c r="A144" s="15"/>
      <c r="B144" s="22"/>
      <c r="C144" s="19"/>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ht="56.25" customHeight="1">
      <c r="A145" s="15"/>
      <c r="B145" s="22"/>
      <c r="C145" s="19"/>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ht="56.25" customHeight="1">
      <c r="A146" s="26"/>
      <c r="B146" s="23"/>
      <c r="C146" s="19"/>
      <c r="D146" s="23"/>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ht="56.25" customHeight="1">
      <c r="A147" s="15"/>
      <c r="B147" s="18"/>
      <c r="C147" s="19"/>
      <c r="D147" s="23"/>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ht="56.25" customHeight="1">
      <c r="A148" s="15"/>
      <c r="B148" s="22"/>
      <c r="C148" s="19"/>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ht="56.25" customHeight="1">
      <c r="A149" s="15"/>
      <c r="B149" s="22"/>
      <c r="C149" s="19"/>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ht="56.25" customHeight="1">
      <c r="A150" s="26"/>
      <c r="B150" s="23"/>
      <c r="C150" s="19"/>
      <c r="D150" s="23"/>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ht="56.25" customHeight="1">
      <c r="A151" s="15"/>
      <c r="B151" s="18"/>
      <c r="C151" s="19"/>
      <c r="D151" s="23"/>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ht="56.25" customHeight="1">
      <c r="A152" s="15"/>
      <c r="B152" s="22"/>
      <c r="C152" s="19"/>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ht="56.25" customHeight="1">
      <c r="A153" s="15"/>
      <c r="B153" s="22"/>
      <c r="C153" s="19"/>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ht="56.25" customHeight="1">
      <c r="A154" s="26"/>
      <c r="B154" s="23"/>
      <c r="C154" s="19"/>
      <c r="D154" s="23"/>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ht="56.25" customHeight="1">
      <c r="A155" s="15"/>
      <c r="B155" s="18"/>
      <c r="C155" s="19"/>
      <c r="D155" s="23"/>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ht="56.25" customHeight="1">
      <c r="A156" s="15"/>
      <c r="B156" s="22"/>
      <c r="C156" s="19"/>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ht="56.25" customHeight="1">
      <c r="A157" s="15"/>
      <c r="B157" s="22"/>
      <c r="C157" s="19"/>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ht="56.25" customHeight="1">
      <c r="A158" s="26"/>
      <c r="B158" s="23"/>
      <c r="C158" s="19"/>
      <c r="D158" s="23"/>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ht="56.25" customHeight="1">
      <c r="A159" s="15"/>
      <c r="B159" s="18"/>
      <c r="C159" s="19"/>
      <c r="D159" s="23"/>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ht="56.25" customHeight="1">
      <c r="A160" s="15"/>
      <c r="B160" s="22"/>
      <c r="C160" s="19"/>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ht="56.25" customHeight="1">
      <c r="A161" s="15"/>
      <c r="B161" s="22"/>
      <c r="C161" s="19"/>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ht="56.25" customHeight="1">
      <c r="A162" s="26"/>
      <c r="B162" s="23"/>
      <c r="C162" s="19"/>
      <c r="D162" s="23"/>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ht="56.25" customHeight="1">
      <c r="A163" s="15"/>
      <c r="B163" s="18"/>
      <c r="C163" s="19"/>
      <c r="D163" s="23"/>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ht="56.25" customHeight="1">
      <c r="A164" s="15"/>
      <c r="B164" s="22"/>
      <c r="C164" s="19"/>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ht="56.25" customHeight="1">
      <c r="A165" s="15"/>
      <c r="B165" s="22"/>
      <c r="C165" s="19"/>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ht="56.25" customHeight="1">
      <c r="A166" s="26"/>
      <c r="B166" s="23"/>
      <c r="C166" s="19"/>
      <c r="D166" s="23"/>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ht="56.25" customHeight="1">
      <c r="A167" s="26"/>
      <c r="B167" s="23"/>
      <c r="C167" s="19"/>
      <c r="D167" s="23"/>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ht="56.25" customHeight="1">
      <c r="A168" s="26"/>
      <c r="B168" s="23"/>
      <c r="C168" s="19"/>
      <c r="D168" s="23"/>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ht="56.25" customHeight="1">
      <c r="A169" s="26"/>
      <c r="B169" s="23"/>
      <c r="C169" s="19"/>
      <c r="D169" s="23"/>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ht="56.25" customHeight="1">
      <c r="A170" s="26"/>
      <c r="B170" s="23"/>
      <c r="C170" s="19"/>
      <c r="D170" s="23"/>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ht="56.25" customHeight="1">
      <c r="A171" s="26"/>
      <c r="B171" s="23"/>
      <c r="C171" s="19"/>
      <c r="D171" s="23"/>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ht="56.25" customHeight="1">
      <c r="A172" s="26"/>
      <c r="B172" s="23"/>
      <c r="C172" s="19"/>
      <c r="D172" s="23"/>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ht="56.25" customHeight="1">
      <c r="A173" s="26"/>
      <c r="B173" s="23"/>
      <c r="C173" s="19"/>
      <c r="D173" s="23"/>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ht="56.25" customHeight="1">
      <c r="A174" s="26"/>
      <c r="B174" s="23"/>
      <c r="C174" s="19"/>
      <c r="D174" s="23"/>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ht="56.25" customHeight="1">
      <c r="A175" s="26"/>
      <c r="B175" s="23"/>
      <c r="C175" s="19"/>
      <c r="D175" s="23"/>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ht="56.25" customHeight="1">
      <c r="A176" s="26"/>
      <c r="B176" s="23"/>
      <c r="C176" s="19"/>
      <c r="D176" s="23"/>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ht="56.25" customHeight="1">
      <c r="A177" s="26"/>
      <c r="B177" s="23"/>
      <c r="C177" s="19"/>
      <c r="D177" s="23"/>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ht="56.25" customHeight="1">
      <c r="A178" s="26"/>
      <c r="B178" s="23"/>
      <c r="C178" s="19"/>
      <c r="D178" s="23"/>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ht="56.25" customHeight="1">
      <c r="A179" s="26"/>
      <c r="B179" s="23"/>
      <c r="C179" s="19"/>
      <c r="D179" s="23"/>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ht="56.25" customHeight="1">
      <c r="A180" s="26"/>
      <c r="B180" s="23"/>
      <c r="C180" s="19"/>
      <c r="D180" s="23"/>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ht="56.25" customHeight="1">
      <c r="A181" s="26"/>
      <c r="B181" s="23"/>
      <c r="C181" s="19"/>
      <c r="D181" s="23"/>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ht="56.25" customHeight="1">
      <c r="A182" s="26"/>
      <c r="B182" s="23"/>
      <c r="C182" s="19"/>
      <c r="D182" s="23"/>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ht="56.25" customHeight="1">
      <c r="A183" s="26"/>
      <c r="B183" s="23"/>
      <c r="C183" s="19"/>
      <c r="D183" s="23"/>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ht="56.25" customHeight="1">
      <c r="A184" s="26"/>
      <c r="B184" s="23"/>
      <c r="C184" s="19"/>
      <c r="D184" s="23"/>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ht="56.25" customHeight="1">
      <c r="A185" s="26"/>
      <c r="B185" s="23"/>
      <c r="C185" s="19"/>
      <c r="D185" s="23"/>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ht="56.25" customHeight="1">
      <c r="A186" s="26"/>
      <c r="B186" s="23"/>
      <c r="C186" s="19"/>
      <c r="D186" s="23"/>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ht="56.25" customHeight="1">
      <c r="A187" s="26"/>
      <c r="B187" s="23"/>
      <c r="C187" s="19"/>
      <c r="D187" s="23"/>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ht="56.25" customHeight="1">
      <c r="A188" s="26"/>
      <c r="B188" s="23"/>
      <c r="C188" s="19"/>
      <c r="D188" s="23"/>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ht="56.25" customHeight="1">
      <c r="A189" s="26"/>
      <c r="B189" s="23"/>
      <c r="C189" s="19"/>
      <c r="D189" s="23"/>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ht="56.25" customHeight="1">
      <c r="A190" s="26"/>
      <c r="B190" s="23"/>
      <c r="C190" s="19"/>
      <c r="D190" s="23"/>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ht="56.25" customHeight="1">
      <c r="A191" s="26"/>
      <c r="B191" s="23"/>
      <c r="C191" s="19"/>
      <c r="D191" s="23"/>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ht="56.25" customHeight="1">
      <c r="A192" s="26"/>
      <c r="B192" s="23"/>
      <c r="C192" s="19"/>
      <c r="D192" s="23"/>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ht="56.25" customHeight="1">
      <c r="A193" s="26"/>
      <c r="B193" s="23"/>
      <c r="C193" s="19"/>
      <c r="D193" s="23"/>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ht="56.25" customHeight="1">
      <c r="A194" s="26"/>
      <c r="B194" s="23"/>
      <c r="C194" s="19"/>
      <c r="D194" s="23"/>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ht="56.25" customHeight="1">
      <c r="A195" s="26"/>
      <c r="B195" s="23"/>
      <c r="C195" s="19"/>
      <c r="D195" s="23"/>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ht="56.25" customHeight="1">
      <c r="A196" s="26"/>
      <c r="B196" s="23"/>
      <c r="C196" s="19"/>
      <c r="D196" s="23"/>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ht="56.25" customHeight="1">
      <c r="A197" s="26"/>
      <c r="B197" s="23"/>
      <c r="C197" s="19"/>
      <c r="D197" s="23"/>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ht="56.25" customHeight="1">
      <c r="A198" s="26"/>
      <c r="B198" s="23"/>
      <c r="C198" s="19"/>
      <c r="D198" s="23"/>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ht="56.25" customHeight="1">
      <c r="A199" s="26"/>
      <c r="B199" s="23"/>
      <c r="C199" s="19"/>
      <c r="D199" s="23"/>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ht="56.25" customHeight="1">
      <c r="A200" s="26"/>
      <c r="B200" s="23"/>
      <c r="C200" s="19"/>
      <c r="D200" s="23"/>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ht="56.25" customHeight="1">
      <c r="A201" s="26"/>
      <c r="B201" s="23"/>
      <c r="C201" s="19"/>
      <c r="D201" s="23"/>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ht="56.25" customHeight="1">
      <c r="A202" s="26"/>
      <c r="B202" s="23"/>
      <c r="C202" s="19"/>
      <c r="D202" s="23"/>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ht="56.25" customHeight="1">
      <c r="A203" s="26"/>
      <c r="B203" s="23"/>
      <c r="C203" s="19"/>
      <c r="D203" s="23"/>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ht="56.25" customHeight="1">
      <c r="A204" s="26"/>
      <c r="B204" s="23"/>
      <c r="C204" s="19"/>
      <c r="D204" s="23"/>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ht="56.25" customHeight="1">
      <c r="A205" s="26"/>
      <c r="B205" s="23"/>
      <c r="C205" s="19"/>
      <c r="D205" s="23"/>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ht="56.25" customHeight="1">
      <c r="A206" s="26"/>
      <c r="B206" s="23"/>
      <c r="C206" s="19"/>
      <c r="D206" s="23"/>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ht="56.25" customHeight="1">
      <c r="A207" s="26"/>
      <c r="B207" s="23"/>
      <c r="C207" s="19"/>
      <c r="D207" s="23"/>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ht="56.25" customHeight="1">
      <c r="A208" s="26"/>
      <c r="B208" s="23"/>
      <c r="C208" s="19"/>
      <c r="D208" s="23"/>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ht="56.25" customHeight="1">
      <c r="A209" s="26"/>
      <c r="B209" s="23"/>
      <c r="C209" s="19"/>
      <c r="D209" s="23"/>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ht="56.25" customHeight="1">
      <c r="A210" s="26"/>
      <c r="B210" s="23"/>
      <c r="C210" s="19"/>
      <c r="D210" s="23"/>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ht="56.25" customHeight="1">
      <c r="A211" s="26"/>
      <c r="B211" s="23"/>
      <c r="C211" s="19"/>
      <c r="D211" s="23"/>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ht="56.25" customHeight="1">
      <c r="A212" s="26"/>
      <c r="B212" s="23"/>
      <c r="C212" s="19"/>
      <c r="D212" s="23"/>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ht="56.25" customHeight="1">
      <c r="A213" s="26"/>
      <c r="B213" s="23"/>
      <c r="C213" s="19"/>
      <c r="D213" s="23"/>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ht="56.25" customHeight="1">
      <c r="A214" s="26"/>
      <c r="B214" s="23"/>
      <c r="C214" s="19"/>
      <c r="D214" s="23"/>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ht="56.25" customHeight="1">
      <c r="A215" s="26"/>
      <c r="B215" s="23"/>
      <c r="C215" s="19"/>
      <c r="D215" s="23"/>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ht="56.25" customHeight="1">
      <c r="A216" s="26"/>
      <c r="B216" s="23"/>
      <c r="C216" s="19"/>
      <c r="D216" s="23"/>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ht="56.25" customHeight="1">
      <c r="A217" s="26"/>
      <c r="B217" s="23"/>
      <c r="C217" s="19"/>
      <c r="D217" s="23"/>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ht="56.25" customHeight="1">
      <c r="A218" s="26"/>
      <c r="B218" s="23"/>
      <c r="C218" s="19"/>
      <c r="D218" s="23"/>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ht="56.25" customHeight="1">
      <c r="A219" s="26"/>
      <c r="B219" s="23"/>
      <c r="C219" s="19"/>
      <c r="D219" s="23"/>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ht="56.25" customHeight="1">
      <c r="A220" s="26"/>
      <c r="B220" s="23"/>
      <c r="C220" s="19"/>
      <c r="D220" s="23"/>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ht="56.25" customHeight="1">
      <c r="A221" s="26"/>
      <c r="B221" s="23"/>
      <c r="C221" s="19"/>
      <c r="D221" s="23"/>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ht="56.25" customHeight="1">
      <c r="A222" s="26"/>
      <c r="B222" s="23"/>
      <c r="C222" s="19"/>
      <c r="D222" s="23"/>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ht="56.25" customHeight="1">
      <c r="A223" s="26"/>
      <c r="B223" s="23"/>
      <c r="C223" s="19"/>
      <c r="D223" s="23"/>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ht="56.25" customHeight="1">
      <c r="A224" s="26"/>
      <c r="B224" s="23"/>
      <c r="C224" s="19"/>
      <c r="D224" s="23"/>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ht="56.25" customHeight="1">
      <c r="A225" s="26"/>
      <c r="B225" s="23"/>
      <c r="C225" s="19"/>
      <c r="D225" s="23"/>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ht="56.25" customHeight="1">
      <c r="A226" s="26"/>
      <c r="B226" s="23"/>
      <c r="C226" s="19"/>
      <c r="D226" s="23"/>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ht="56.25" customHeight="1">
      <c r="A227" s="26"/>
      <c r="B227" s="23"/>
      <c r="C227" s="19"/>
      <c r="D227" s="23"/>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ht="56.25" customHeight="1">
      <c r="A228" s="26"/>
      <c r="B228" s="23"/>
      <c r="C228" s="19"/>
      <c r="D228" s="23"/>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ht="56.25" customHeight="1">
      <c r="A229" s="26"/>
      <c r="B229" s="23"/>
      <c r="C229" s="19"/>
      <c r="D229" s="23"/>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ht="56.25" customHeight="1">
      <c r="A230" s="26"/>
      <c r="B230" s="23"/>
      <c r="C230" s="19"/>
      <c r="D230" s="23"/>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ht="56.25" customHeight="1">
      <c r="A231" s="26"/>
      <c r="B231" s="23"/>
      <c r="C231" s="19"/>
      <c r="D231" s="23"/>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ht="56.25" customHeight="1">
      <c r="A232" s="26"/>
      <c r="B232" s="23"/>
      <c r="C232" s="19"/>
      <c r="D232" s="23"/>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ht="56.25" customHeight="1">
      <c r="A233" s="26"/>
      <c r="B233" s="23"/>
      <c r="C233" s="19"/>
      <c r="D233" s="23"/>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ht="56.25" customHeight="1">
      <c r="A234" s="26"/>
      <c r="B234" s="23"/>
      <c r="C234" s="19"/>
      <c r="D234" s="23"/>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ht="56.25" customHeight="1">
      <c r="A235" s="26"/>
      <c r="B235" s="23"/>
      <c r="C235" s="19"/>
      <c r="D235" s="23"/>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ht="56.25" customHeight="1">
      <c r="A236" s="26"/>
      <c r="B236" s="23"/>
      <c r="C236" s="19"/>
      <c r="D236" s="23"/>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ht="56.25" customHeight="1">
      <c r="A237" s="26"/>
      <c r="B237" s="23"/>
      <c r="C237" s="19"/>
      <c r="D237" s="23"/>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ht="56.25" customHeight="1">
      <c r="A238" s="26"/>
      <c r="B238" s="23"/>
      <c r="C238" s="19"/>
      <c r="D238" s="23"/>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ht="56.25" customHeight="1">
      <c r="A239" s="26"/>
      <c r="B239" s="23"/>
      <c r="C239" s="19"/>
      <c r="D239" s="23"/>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ht="56.25" customHeight="1">
      <c r="A240" s="26"/>
      <c r="B240" s="23"/>
      <c r="C240" s="19"/>
      <c r="D240" s="23"/>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ht="56.25" customHeight="1">
      <c r="A241" s="26"/>
      <c r="B241" s="23"/>
      <c r="C241" s="19"/>
      <c r="D241" s="23"/>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ht="56.25" customHeight="1">
      <c r="A242" s="26"/>
      <c r="B242" s="23"/>
      <c r="C242" s="19"/>
      <c r="D242" s="23"/>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ht="56.25" customHeight="1">
      <c r="A243" s="26"/>
      <c r="B243" s="23"/>
      <c r="C243" s="19"/>
      <c r="D243" s="23"/>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ht="56.25" customHeight="1">
      <c r="A244" s="26"/>
      <c r="B244" s="23"/>
      <c r="C244" s="19"/>
      <c r="D244" s="23"/>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ht="56.25" customHeight="1">
      <c r="A245" s="26"/>
      <c r="B245" s="23"/>
      <c r="C245" s="19"/>
      <c r="D245" s="23"/>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ht="56.25" customHeight="1">
      <c r="A246" s="26"/>
      <c r="B246" s="23"/>
      <c r="C246" s="19"/>
      <c r="D246" s="23"/>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ht="56.25" customHeight="1">
      <c r="A247" s="26"/>
      <c r="B247" s="23"/>
      <c r="C247" s="19"/>
      <c r="D247" s="23"/>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ht="56.25" customHeight="1">
      <c r="A248" s="26"/>
      <c r="B248" s="23"/>
      <c r="C248" s="19"/>
      <c r="D248" s="23"/>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ht="56.25" customHeight="1">
      <c r="A249" s="26"/>
      <c r="B249" s="23"/>
      <c r="C249" s="19"/>
      <c r="D249" s="23"/>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ht="56.25" customHeight="1">
      <c r="A250" s="26"/>
      <c r="B250" s="23"/>
      <c r="C250" s="19"/>
      <c r="D250" s="23"/>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ht="56.25" customHeight="1">
      <c r="A251" s="26"/>
      <c r="B251" s="23"/>
      <c r="C251" s="19"/>
      <c r="D251" s="23"/>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ht="56.25" customHeight="1">
      <c r="A252" s="26"/>
      <c r="B252" s="23"/>
      <c r="C252" s="19"/>
      <c r="D252" s="23"/>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ht="56.25" customHeight="1">
      <c r="A253" s="26"/>
      <c r="B253" s="23"/>
      <c r="C253" s="19"/>
      <c r="D253" s="23"/>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ht="56.25" customHeight="1">
      <c r="A254" s="26"/>
      <c r="B254" s="23"/>
      <c r="C254" s="19"/>
      <c r="D254" s="23"/>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ht="56.25" customHeight="1">
      <c r="A255" s="26"/>
      <c r="B255" s="23"/>
      <c r="C255" s="19"/>
      <c r="D255" s="23"/>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ht="56.25" customHeight="1">
      <c r="A256" s="26"/>
      <c r="B256" s="23"/>
      <c r="C256" s="19"/>
      <c r="D256" s="23"/>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ht="56.25" customHeight="1">
      <c r="A257" s="26"/>
      <c r="B257" s="23"/>
      <c r="C257" s="19"/>
      <c r="D257" s="23"/>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ht="56.25" customHeight="1">
      <c r="A258" s="26"/>
      <c r="B258" s="23"/>
      <c r="C258" s="19"/>
      <c r="D258" s="23"/>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ht="56.25" customHeight="1">
      <c r="A259" s="26"/>
      <c r="B259" s="23"/>
      <c r="C259" s="19"/>
      <c r="D259" s="23"/>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ht="56.25" customHeight="1">
      <c r="A260" s="26"/>
      <c r="B260" s="23"/>
      <c r="C260" s="19"/>
      <c r="D260" s="23"/>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ht="56.25" customHeight="1">
      <c r="A261" s="26"/>
      <c r="B261" s="23"/>
      <c r="C261" s="19"/>
      <c r="D261" s="23"/>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ht="56.25" customHeight="1">
      <c r="A262" s="26"/>
      <c r="B262" s="23"/>
      <c r="C262" s="19"/>
      <c r="D262" s="23"/>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ht="56.25" customHeight="1">
      <c r="A263" s="26"/>
      <c r="B263" s="23"/>
      <c r="C263" s="19"/>
      <c r="D263" s="23"/>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ht="56.25" customHeight="1">
      <c r="A264" s="26"/>
      <c r="B264" s="23"/>
      <c r="C264" s="19"/>
      <c r="D264" s="23"/>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ht="56.25" customHeight="1">
      <c r="A265" s="26"/>
      <c r="B265" s="23"/>
      <c r="C265" s="19"/>
      <c r="D265" s="23"/>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ht="56.25" customHeight="1">
      <c r="A266" s="26"/>
      <c r="B266" s="23"/>
      <c r="C266" s="19"/>
      <c r="D266" s="23"/>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ht="56.25" customHeight="1">
      <c r="A267" s="26"/>
      <c r="B267" s="23"/>
      <c r="C267" s="19"/>
      <c r="D267" s="23"/>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ht="56.25" customHeight="1">
      <c r="A268" s="26"/>
      <c r="B268" s="23"/>
      <c r="C268" s="19"/>
      <c r="D268" s="23"/>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ht="56.25" customHeight="1">
      <c r="A269" s="26"/>
      <c r="B269" s="23"/>
      <c r="C269" s="19"/>
      <c r="D269" s="23"/>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ht="56.25" customHeight="1">
      <c r="A270" s="26"/>
      <c r="B270" s="23"/>
      <c r="C270" s="19"/>
      <c r="D270" s="23"/>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ht="56.25" customHeight="1">
      <c r="A271" s="26"/>
      <c r="B271" s="23"/>
      <c r="C271" s="19"/>
      <c r="D271" s="23"/>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ht="56.25" customHeight="1">
      <c r="A272" s="26"/>
      <c r="B272" s="23"/>
      <c r="C272" s="19"/>
      <c r="D272" s="23"/>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ht="56.25" customHeight="1">
      <c r="A273" s="26"/>
      <c r="B273" s="23"/>
      <c r="C273" s="19"/>
      <c r="D273" s="23"/>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ht="56.25" customHeight="1">
      <c r="A274" s="26"/>
      <c r="B274" s="23"/>
      <c r="C274" s="19"/>
      <c r="D274" s="23"/>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ht="56.25" customHeight="1">
      <c r="A275" s="26"/>
      <c r="B275" s="23"/>
      <c r="C275" s="19"/>
      <c r="D275" s="23"/>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ht="56.25" customHeight="1">
      <c r="A276" s="26"/>
      <c r="B276" s="23"/>
      <c r="C276" s="19"/>
      <c r="D276" s="23"/>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ht="56.25" customHeight="1">
      <c r="A277" s="26"/>
      <c r="B277" s="23"/>
      <c r="C277" s="19"/>
      <c r="D277" s="23"/>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ht="56.25" customHeight="1">
      <c r="A278" s="26"/>
      <c r="B278" s="23"/>
      <c r="C278" s="19"/>
      <c r="D278" s="23"/>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ht="56.25" customHeight="1">
      <c r="A279" s="26"/>
      <c r="B279" s="23"/>
      <c r="C279" s="19"/>
      <c r="D279" s="23"/>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ht="56.25" customHeight="1">
      <c r="A280" s="26"/>
      <c r="B280" s="23"/>
      <c r="C280" s="19"/>
      <c r="D280" s="23"/>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ht="56.25" customHeight="1">
      <c r="A281" s="26"/>
      <c r="B281" s="23"/>
      <c r="C281" s="19"/>
      <c r="D281" s="23"/>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ht="56.25" customHeight="1">
      <c r="A282" s="26"/>
      <c r="B282" s="23"/>
      <c r="C282" s="19"/>
      <c r="D282" s="23"/>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ht="56.25" customHeight="1">
      <c r="A283" s="26"/>
      <c r="B283" s="23"/>
      <c r="C283" s="19"/>
      <c r="D283" s="23"/>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ht="56.25" customHeight="1">
      <c r="A284" s="26"/>
      <c r="B284" s="23"/>
      <c r="C284" s="19"/>
      <c r="D284" s="23"/>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ht="56.25" customHeight="1">
      <c r="A285" s="26"/>
      <c r="B285" s="23"/>
      <c r="C285" s="19"/>
      <c r="D285" s="23"/>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ht="56.25" customHeight="1">
      <c r="A286" s="26"/>
      <c r="B286" s="23"/>
      <c r="C286" s="19"/>
      <c r="D286" s="23"/>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ht="56.25" customHeight="1">
      <c r="A287" s="26"/>
      <c r="B287" s="23"/>
      <c r="C287" s="19"/>
      <c r="D287" s="23"/>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ht="56.25" customHeight="1">
      <c r="A288" s="26"/>
      <c r="B288" s="23"/>
      <c r="C288" s="19"/>
      <c r="D288" s="23"/>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ht="56.25" customHeight="1">
      <c r="A289" s="26"/>
      <c r="B289" s="23"/>
      <c r="C289" s="19"/>
      <c r="D289" s="23"/>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ht="56.25" customHeight="1">
      <c r="A290" s="26"/>
      <c r="B290" s="23"/>
      <c r="C290" s="19"/>
      <c r="D290" s="23"/>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ht="56.25" customHeight="1">
      <c r="A291" s="26"/>
      <c r="B291" s="23"/>
      <c r="C291" s="19"/>
      <c r="D291" s="23"/>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ht="56.25" customHeight="1">
      <c r="A292" s="26"/>
      <c r="B292" s="23"/>
      <c r="C292" s="19"/>
      <c r="D292" s="23"/>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ht="56.25" customHeight="1">
      <c r="A293" s="26"/>
      <c r="B293" s="23"/>
      <c r="C293" s="19"/>
      <c r="D293" s="23"/>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ht="56.25" customHeight="1">
      <c r="A294" s="26"/>
      <c r="B294" s="23"/>
      <c r="C294" s="19"/>
      <c r="D294" s="23"/>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ht="56.25" customHeight="1">
      <c r="A295" s="26"/>
      <c r="B295" s="23"/>
      <c r="C295" s="19"/>
      <c r="D295" s="23"/>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ht="56.25" customHeight="1">
      <c r="A296" s="26"/>
      <c r="B296" s="23"/>
      <c r="C296" s="19"/>
      <c r="D296" s="23"/>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ht="56.25" customHeight="1">
      <c r="A297" s="26"/>
      <c r="B297" s="23"/>
      <c r="C297" s="19"/>
      <c r="D297" s="23"/>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ht="56.25" customHeight="1">
      <c r="A298" s="26"/>
      <c r="B298" s="23"/>
      <c r="C298" s="19"/>
      <c r="D298" s="23"/>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ht="56.25" customHeight="1">
      <c r="A299" s="26"/>
      <c r="B299" s="23"/>
      <c r="C299" s="19"/>
      <c r="D299" s="23"/>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ht="56.25" customHeight="1">
      <c r="A300" s="26"/>
      <c r="B300" s="23"/>
      <c r="C300" s="19"/>
      <c r="D300" s="23"/>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ht="56.25" customHeight="1">
      <c r="A301" s="26"/>
      <c r="B301" s="23"/>
      <c r="C301" s="19"/>
      <c r="D301" s="23"/>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ht="56.25" customHeight="1">
      <c r="A302" s="26"/>
      <c r="B302" s="23"/>
      <c r="C302" s="19"/>
      <c r="D302" s="23"/>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ht="56.25" customHeight="1">
      <c r="A303" s="26"/>
      <c r="B303" s="23"/>
      <c r="C303" s="19"/>
      <c r="D303" s="23"/>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ht="56.25" customHeight="1">
      <c r="A304" s="26"/>
      <c r="B304" s="23"/>
      <c r="C304" s="19"/>
      <c r="D304" s="23"/>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ht="56.25" customHeight="1">
      <c r="A305" s="26"/>
      <c r="B305" s="23"/>
      <c r="C305" s="19"/>
      <c r="D305" s="23"/>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ht="56.25" customHeight="1">
      <c r="A306" s="26"/>
      <c r="B306" s="23"/>
      <c r="C306" s="19"/>
      <c r="D306" s="23"/>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ht="56.25" customHeight="1">
      <c r="A307" s="26"/>
      <c r="B307" s="23"/>
      <c r="C307" s="19"/>
      <c r="D307" s="23"/>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ht="56.25" customHeight="1">
      <c r="A308" s="26"/>
      <c r="B308" s="23"/>
      <c r="C308" s="19"/>
      <c r="D308" s="23"/>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ht="56.25" customHeight="1">
      <c r="A309" s="26"/>
      <c r="B309" s="23"/>
      <c r="C309" s="19"/>
      <c r="D309" s="23"/>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ht="56.25" customHeight="1">
      <c r="A310" s="26"/>
      <c r="B310" s="23"/>
      <c r="C310" s="19"/>
      <c r="D310" s="23"/>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ht="56.25" customHeight="1">
      <c r="A311" s="26"/>
      <c r="B311" s="23"/>
      <c r="C311" s="19"/>
      <c r="D311" s="23"/>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ht="56.25" customHeight="1">
      <c r="A312" s="26"/>
      <c r="B312" s="23"/>
      <c r="C312" s="19"/>
      <c r="D312" s="23"/>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ht="56.25" customHeight="1">
      <c r="A313" s="26"/>
      <c r="B313" s="23"/>
      <c r="C313" s="19"/>
      <c r="D313" s="23"/>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ht="56.25" customHeight="1">
      <c r="A314" s="26"/>
      <c r="B314" s="23"/>
      <c r="C314" s="19"/>
      <c r="D314" s="23"/>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ht="56.25" customHeight="1">
      <c r="A315" s="26"/>
      <c r="B315" s="23"/>
      <c r="C315" s="19"/>
      <c r="D315" s="23"/>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ht="56.25" customHeight="1">
      <c r="A316" s="26"/>
      <c r="B316" s="23"/>
      <c r="C316" s="19"/>
      <c r="D316" s="23"/>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ht="56.25" customHeight="1">
      <c r="A317" s="26"/>
      <c r="B317" s="23"/>
      <c r="C317" s="19"/>
      <c r="D317" s="23"/>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ht="56.25" customHeight="1">
      <c r="A318" s="26"/>
      <c r="B318" s="23"/>
      <c r="C318" s="19"/>
      <c r="D318" s="23"/>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ht="56.25" customHeight="1">
      <c r="A319" s="26"/>
      <c r="B319" s="23"/>
      <c r="C319" s="19"/>
      <c r="D319" s="23"/>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ht="56.25" customHeight="1">
      <c r="A320" s="26"/>
      <c r="B320" s="23"/>
      <c r="C320" s="19"/>
      <c r="D320" s="23"/>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ht="56.25" customHeight="1">
      <c r="A321" s="26"/>
      <c r="B321" s="23"/>
      <c r="C321" s="19"/>
      <c r="D321" s="23"/>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ht="56.25" customHeight="1">
      <c r="A322" s="26"/>
      <c r="B322" s="23"/>
      <c r="C322" s="19"/>
      <c r="D322" s="23"/>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ht="56.25" customHeight="1">
      <c r="A323" s="26"/>
      <c r="B323" s="23"/>
      <c r="C323" s="19"/>
      <c r="D323" s="23"/>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ht="56.25" customHeight="1">
      <c r="A324" s="26"/>
      <c r="B324" s="23"/>
      <c r="C324" s="19"/>
      <c r="D324" s="23"/>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ht="56.25" customHeight="1">
      <c r="A325" s="26"/>
      <c r="B325" s="23"/>
      <c r="C325" s="19"/>
      <c r="D325" s="23"/>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ht="56.25" customHeight="1">
      <c r="A326" s="26"/>
      <c r="B326" s="23"/>
      <c r="C326" s="19"/>
      <c r="D326" s="23"/>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ht="56.25" customHeight="1">
      <c r="A327" s="26"/>
      <c r="B327" s="23"/>
      <c r="C327" s="19"/>
      <c r="D327" s="23"/>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ht="56.25" customHeight="1">
      <c r="A328" s="26"/>
      <c r="B328" s="23"/>
      <c r="C328" s="19"/>
      <c r="D328" s="23"/>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ht="56.25" customHeight="1">
      <c r="A329" s="26"/>
      <c r="B329" s="23"/>
      <c r="C329" s="19"/>
      <c r="D329" s="23"/>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ht="56.25" customHeight="1">
      <c r="A330" s="26"/>
      <c r="B330" s="23"/>
      <c r="C330" s="19"/>
      <c r="D330" s="23"/>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ht="56.25" customHeight="1">
      <c r="A331" s="26"/>
      <c r="B331" s="23"/>
      <c r="C331" s="19"/>
      <c r="D331" s="23"/>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ht="56.25" customHeight="1">
      <c r="A332" s="26"/>
      <c r="B332" s="23"/>
      <c r="C332" s="19"/>
      <c r="D332" s="23"/>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ht="56.25" customHeight="1">
      <c r="A333" s="26"/>
      <c r="B333" s="23"/>
      <c r="C333" s="19"/>
      <c r="D333" s="23"/>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ht="56.25" customHeight="1">
      <c r="A334" s="26"/>
      <c r="B334" s="23"/>
      <c r="C334" s="19"/>
      <c r="D334" s="23"/>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ht="56.25" customHeight="1">
      <c r="A335" s="26"/>
      <c r="B335" s="23"/>
      <c r="C335" s="19"/>
      <c r="D335" s="23"/>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ht="56.25" customHeight="1">
      <c r="A336" s="26"/>
      <c r="B336" s="23"/>
      <c r="C336" s="19"/>
      <c r="D336" s="23"/>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ht="56.25" customHeight="1">
      <c r="A337" s="26"/>
      <c r="B337" s="23"/>
      <c r="C337" s="19"/>
      <c r="D337" s="23"/>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ht="56.25" customHeight="1">
      <c r="A338" s="26"/>
      <c r="B338" s="23"/>
      <c r="C338" s="19"/>
      <c r="D338" s="23"/>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ht="56.25" customHeight="1">
      <c r="A339" s="26"/>
      <c r="B339" s="23"/>
      <c r="C339" s="19"/>
      <c r="D339" s="23"/>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ht="56.25" customHeight="1">
      <c r="A340" s="26"/>
      <c r="B340" s="23"/>
      <c r="C340" s="19"/>
      <c r="D340" s="23"/>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ht="56.25" customHeight="1">
      <c r="A341" s="26"/>
      <c r="B341" s="23"/>
      <c r="C341" s="19"/>
      <c r="D341" s="23"/>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ht="56.25" customHeight="1">
      <c r="A342" s="26"/>
      <c r="B342" s="23"/>
      <c r="C342" s="19"/>
      <c r="D342" s="23"/>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ht="56.25" customHeight="1">
      <c r="A343" s="26"/>
      <c r="B343" s="23"/>
      <c r="C343" s="19"/>
      <c r="D343" s="23"/>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ht="56.25" customHeight="1">
      <c r="A344" s="26"/>
      <c r="B344" s="23"/>
      <c r="C344" s="19"/>
      <c r="D344" s="23"/>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ht="56.25" customHeight="1">
      <c r="A345" s="26"/>
      <c r="B345" s="23"/>
      <c r="C345" s="19"/>
      <c r="D345" s="23"/>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ht="56.25" customHeight="1">
      <c r="A346" s="26"/>
      <c r="B346" s="23"/>
      <c r="C346" s="19"/>
      <c r="D346" s="23"/>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ht="56.25" customHeight="1">
      <c r="A347" s="26"/>
      <c r="B347" s="23"/>
      <c r="C347" s="19"/>
      <c r="D347" s="23"/>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ht="56.25" customHeight="1">
      <c r="A348" s="26"/>
      <c r="B348" s="23"/>
      <c r="C348" s="19"/>
      <c r="D348" s="23"/>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ht="56.25" customHeight="1">
      <c r="A349" s="26"/>
      <c r="B349" s="23"/>
      <c r="C349" s="19"/>
      <c r="D349" s="23"/>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ht="56.25" customHeight="1">
      <c r="A350" s="26"/>
      <c r="B350" s="23"/>
      <c r="C350" s="19"/>
      <c r="D350" s="23"/>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ht="56.25" customHeight="1">
      <c r="A351" s="26"/>
      <c r="B351" s="23"/>
      <c r="C351" s="19"/>
      <c r="D351" s="23"/>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ht="56.25" customHeight="1">
      <c r="A352" s="26"/>
      <c r="B352" s="23"/>
      <c r="C352" s="19"/>
      <c r="D352" s="23"/>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ht="56.25" customHeight="1">
      <c r="A353" s="26"/>
      <c r="B353" s="23"/>
      <c r="C353" s="19"/>
      <c r="D353" s="23"/>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ht="56.25" customHeight="1">
      <c r="A354" s="26"/>
      <c r="B354" s="23"/>
      <c r="C354" s="19"/>
      <c r="D354" s="23"/>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ht="56.25" customHeight="1">
      <c r="A355" s="26"/>
      <c r="B355" s="23"/>
      <c r="C355" s="19"/>
      <c r="D355" s="23"/>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ht="56.25" customHeight="1">
      <c r="A356" s="26"/>
      <c r="B356" s="23"/>
      <c r="C356" s="19"/>
      <c r="D356" s="23"/>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ht="56.25" customHeight="1">
      <c r="A357" s="26"/>
      <c r="B357" s="23"/>
      <c r="C357" s="19"/>
      <c r="D357" s="23"/>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ht="56.25" customHeight="1">
      <c r="A358" s="26"/>
      <c r="B358" s="23"/>
      <c r="C358" s="19"/>
      <c r="D358" s="23"/>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ht="56.25" customHeight="1">
      <c r="A359" s="26"/>
      <c r="B359" s="23"/>
      <c r="C359" s="19"/>
      <c r="D359" s="23"/>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ht="56.25" customHeight="1">
      <c r="A360" s="26"/>
      <c r="B360" s="23"/>
      <c r="C360" s="19"/>
      <c r="D360" s="23"/>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ht="56.25" customHeight="1">
      <c r="A361" s="26"/>
      <c r="B361" s="23"/>
      <c r="C361" s="19"/>
      <c r="D361" s="23"/>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ht="56.25" customHeight="1">
      <c r="A362" s="26"/>
      <c r="B362" s="23"/>
      <c r="C362" s="19"/>
      <c r="D362" s="23"/>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ht="56.25" customHeight="1">
      <c r="A363" s="26"/>
      <c r="B363" s="23"/>
      <c r="C363" s="19"/>
      <c r="D363" s="23"/>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ht="56.25" customHeight="1">
      <c r="A364" s="26"/>
      <c r="B364" s="23"/>
      <c r="C364" s="19"/>
      <c r="D364" s="23"/>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ht="56.25" customHeight="1">
      <c r="A365" s="26"/>
      <c r="B365" s="23"/>
      <c r="C365" s="19"/>
      <c r="D365" s="23"/>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ht="56.25" customHeight="1">
      <c r="A366" s="26"/>
      <c r="B366" s="23"/>
      <c r="C366" s="19"/>
      <c r="D366" s="23"/>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ht="56.25" customHeight="1">
      <c r="A367" s="26"/>
      <c r="B367" s="23"/>
      <c r="C367" s="19"/>
      <c r="D367" s="23"/>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ht="56.25" customHeight="1">
      <c r="A368" s="26"/>
      <c r="B368" s="23"/>
      <c r="C368" s="19"/>
      <c r="D368" s="23"/>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ht="56.25" customHeight="1">
      <c r="A369" s="26"/>
      <c r="B369" s="23"/>
      <c r="C369" s="19"/>
      <c r="D369" s="23"/>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ht="56.25" customHeight="1">
      <c r="A370" s="26"/>
      <c r="B370" s="23"/>
      <c r="C370" s="19"/>
      <c r="D370" s="23"/>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ht="56.25" customHeight="1">
      <c r="A371" s="26"/>
      <c r="B371" s="23"/>
      <c r="C371" s="19"/>
      <c r="D371" s="23"/>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ht="56.25" customHeight="1">
      <c r="A372" s="26"/>
      <c r="B372" s="23"/>
      <c r="C372" s="19"/>
      <c r="D372" s="23"/>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ht="56.25" customHeight="1">
      <c r="A373" s="26"/>
      <c r="B373" s="23"/>
      <c r="C373" s="19"/>
      <c r="D373" s="23"/>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ht="56.25" customHeight="1">
      <c r="A374" s="26"/>
      <c r="B374" s="23"/>
      <c r="C374" s="19"/>
      <c r="D374" s="23"/>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ht="56.25" customHeight="1">
      <c r="A375" s="26"/>
      <c r="B375" s="23"/>
      <c r="C375" s="19"/>
      <c r="D375" s="23"/>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ht="56.25" customHeight="1">
      <c r="A376" s="26"/>
      <c r="B376" s="23"/>
      <c r="C376" s="19"/>
      <c r="D376" s="23"/>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ht="56.25" customHeight="1">
      <c r="A377" s="26"/>
      <c r="B377" s="23"/>
      <c r="C377" s="19"/>
      <c r="D377" s="23"/>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ht="56.25" customHeight="1">
      <c r="A378" s="26"/>
      <c r="B378" s="23"/>
      <c r="C378" s="19"/>
      <c r="D378" s="23"/>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ht="56.25" customHeight="1">
      <c r="A379" s="26"/>
      <c r="B379" s="23"/>
      <c r="C379" s="19"/>
      <c r="D379" s="23"/>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ht="56.25" customHeight="1">
      <c r="A380" s="26"/>
      <c r="B380" s="23"/>
      <c r="C380" s="19"/>
      <c r="D380" s="23"/>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ht="56.25" customHeight="1">
      <c r="A381" s="26"/>
      <c r="B381" s="23"/>
      <c r="C381" s="19"/>
      <c r="D381" s="23"/>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ht="56.25" customHeight="1">
      <c r="A382" s="26"/>
      <c r="B382" s="23"/>
      <c r="C382" s="19"/>
      <c r="D382" s="23"/>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ht="56.25" customHeight="1">
      <c r="A383" s="26"/>
      <c r="B383" s="23"/>
      <c r="C383" s="19"/>
      <c r="D383" s="23"/>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ht="56.25" customHeight="1">
      <c r="A384" s="26"/>
      <c r="B384" s="23"/>
      <c r="C384" s="19"/>
      <c r="D384" s="23"/>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ht="56.25" customHeight="1">
      <c r="A385" s="26"/>
      <c r="B385" s="23"/>
      <c r="C385" s="19"/>
      <c r="D385" s="23"/>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ht="56.25" customHeight="1">
      <c r="A386" s="26"/>
      <c r="B386" s="23"/>
      <c r="C386" s="19"/>
      <c r="D386" s="23"/>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ht="56.25" customHeight="1">
      <c r="A387" s="26"/>
      <c r="B387" s="23"/>
      <c r="C387" s="19"/>
      <c r="D387" s="23"/>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ht="56.25" customHeight="1">
      <c r="A388" s="26"/>
      <c r="B388" s="23"/>
      <c r="C388" s="19"/>
      <c r="D388" s="23"/>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ht="56.25" customHeight="1">
      <c r="A389" s="26"/>
      <c r="B389" s="23"/>
      <c r="C389" s="19"/>
      <c r="D389" s="23"/>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ht="56.25" customHeight="1">
      <c r="A390" s="26"/>
      <c r="B390" s="23"/>
      <c r="C390" s="19"/>
      <c r="D390" s="23"/>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ht="56.25" customHeight="1">
      <c r="A391" s="26"/>
      <c r="B391" s="23"/>
      <c r="C391" s="19"/>
      <c r="D391" s="23"/>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ht="56.25" customHeight="1">
      <c r="A392" s="26"/>
      <c r="B392" s="23"/>
      <c r="C392" s="19"/>
      <c r="D392" s="23"/>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ht="56.25" customHeight="1">
      <c r="A393" s="26"/>
      <c r="B393" s="23"/>
      <c r="C393" s="19"/>
      <c r="D393" s="23"/>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ht="56.25" customHeight="1">
      <c r="A394" s="26"/>
      <c r="B394" s="23"/>
      <c r="C394" s="19"/>
      <c r="D394" s="23"/>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ht="56.25" customHeight="1">
      <c r="A395" s="26"/>
      <c r="B395" s="23"/>
      <c r="C395" s="19"/>
      <c r="D395" s="23"/>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ht="56.25" customHeight="1">
      <c r="A396" s="26"/>
      <c r="B396" s="23"/>
      <c r="C396" s="19"/>
      <c r="D396" s="23"/>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ht="56.25" customHeight="1">
      <c r="A397" s="26"/>
      <c r="B397" s="23"/>
      <c r="C397" s="19"/>
      <c r="D397" s="23"/>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ht="56.25" customHeight="1">
      <c r="A398" s="26"/>
      <c r="B398" s="23"/>
      <c r="C398" s="19"/>
      <c r="D398" s="23"/>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ht="56.25" customHeight="1">
      <c r="A399" s="26"/>
      <c r="B399" s="23"/>
      <c r="C399" s="19"/>
      <c r="D399" s="23"/>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ht="56.25" customHeight="1">
      <c r="A400" s="26"/>
      <c r="B400" s="23"/>
      <c r="C400" s="19"/>
      <c r="D400" s="23"/>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ht="56.25" customHeight="1">
      <c r="A401" s="26"/>
      <c r="B401" s="23"/>
      <c r="C401" s="19"/>
      <c r="D401" s="23"/>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ht="56.25" customHeight="1">
      <c r="A402" s="26"/>
      <c r="B402" s="23"/>
      <c r="C402" s="19"/>
      <c r="D402" s="23"/>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ht="56.25" customHeight="1">
      <c r="A403" s="26"/>
      <c r="B403" s="23"/>
      <c r="C403" s="19"/>
      <c r="D403" s="23"/>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ht="56.25" customHeight="1">
      <c r="A404" s="26"/>
      <c r="B404" s="23"/>
      <c r="C404" s="19"/>
      <c r="D404" s="23"/>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ht="56.25" customHeight="1">
      <c r="A405" s="26"/>
      <c r="B405" s="23"/>
      <c r="C405" s="19"/>
      <c r="D405" s="23"/>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ht="56.25" customHeight="1">
      <c r="A406" s="26"/>
      <c r="B406" s="23"/>
      <c r="C406" s="19"/>
      <c r="D406" s="23"/>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ht="56.25" customHeight="1">
      <c r="A407" s="26"/>
      <c r="B407" s="23"/>
      <c r="C407" s="19"/>
      <c r="D407" s="23"/>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ht="56.25" customHeight="1">
      <c r="A408" s="26"/>
      <c r="B408" s="23"/>
      <c r="C408" s="19"/>
      <c r="D408" s="23"/>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ht="56.25" customHeight="1">
      <c r="A409" s="26"/>
      <c r="B409" s="23"/>
      <c r="C409" s="19"/>
      <c r="D409" s="23"/>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ht="56.25" customHeight="1">
      <c r="A410" s="26"/>
      <c r="B410" s="23"/>
      <c r="C410" s="19"/>
      <c r="D410" s="23"/>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ht="56.25" customHeight="1">
      <c r="A411" s="26"/>
      <c r="B411" s="23"/>
      <c r="C411" s="19"/>
      <c r="D411" s="23"/>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ht="56.25" customHeight="1">
      <c r="A412" s="26"/>
      <c r="B412" s="23"/>
      <c r="C412" s="19"/>
      <c r="D412" s="23"/>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ht="56.25" customHeight="1">
      <c r="A413" s="26"/>
      <c r="B413" s="23"/>
      <c r="C413" s="19"/>
      <c r="D413" s="23"/>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ht="56.25" customHeight="1">
      <c r="A414" s="26"/>
      <c r="B414" s="23"/>
      <c r="C414" s="19"/>
      <c r="D414" s="23"/>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ht="56.25" customHeight="1">
      <c r="A415" s="26"/>
      <c r="B415" s="23"/>
      <c r="C415" s="19"/>
      <c r="D415" s="23"/>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ht="56.25" customHeight="1">
      <c r="A416" s="26"/>
      <c r="B416" s="23"/>
      <c r="C416" s="19"/>
      <c r="D416" s="23"/>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ht="56.25" customHeight="1">
      <c r="A417" s="26"/>
      <c r="B417" s="23"/>
      <c r="C417" s="19"/>
      <c r="D417" s="23"/>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ht="56.25" customHeight="1">
      <c r="A418" s="26"/>
      <c r="B418" s="23"/>
      <c r="C418" s="19"/>
      <c r="D418" s="23"/>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ht="56.25" customHeight="1">
      <c r="A419" s="26"/>
      <c r="B419" s="23"/>
      <c r="C419" s="19"/>
      <c r="D419" s="23"/>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ht="56.25" customHeight="1">
      <c r="A420" s="26"/>
      <c r="B420" s="23"/>
      <c r="C420" s="19"/>
      <c r="D420" s="23"/>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ht="56.25" customHeight="1">
      <c r="A421" s="26"/>
      <c r="B421" s="23"/>
      <c r="C421" s="19"/>
      <c r="D421" s="23"/>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ht="56.25" customHeight="1">
      <c r="A422" s="26"/>
      <c r="B422" s="23"/>
      <c r="C422" s="19"/>
      <c r="D422" s="23"/>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ht="56.25" customHeight="1">
      <c r="A423" s="26"/>
      <c r="B423" s="23"/>
      <c r="C423" s="19"/>
      <c r="D423" s="23"/>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ht="56.25" customHeight="1">
      <c r="A424" s="26"/>
      <c r="B424" s="23"/>
      <c r="C424" s="19"/>
      <c r="D424" s="23"/>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ht="56.25" customHeight="1">
      <c r="A425" s="26"/>
      <c r="B425" s="23"/>
      <c r="C425" s="19"/>
      <c r="D425" s="23"/>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ht="56.25" customHeight="1">
      <c r="A426" s="26"/>
      <c r="B426" s="23"/>
      <c r="C426" s="19"/>
      <c r="D426" s="23"/>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ht="56.25" customHeight="1">
      <c r="A427" s="26"/>
      <c r="B427" s="23"/>
      <c r="C427" s="19"/>
      <c r="D427" s="23"/>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ht="56.25" customHeight="1">
      <c r="A428" s="26"/>
      <c r="B428" s="23"/>
      <c r="C428" s="19"/>
      <c r="D428" s="23"/>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ht="56.25" customHeight="1">
      <c r="A429" s="26"/>
      <c r="B429" s="23"/>
      <c r="C429" s="19"/>
      <c r="D429" s="23"/>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ht="56.25" customHeight="1">
      <c r="A430" s="26"/>
      <c r="B430" s="23"/>
      <c r="C430" s="19"/>
      <c r="D430" s="23"/>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ht="56.25" customHeight="1">
      <c r="A431" s="26"/>
      <c r="B431" s="23"/>
      <c r="C431" s="19"/>
      <c r="D431" s="23"/>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ht="56.25" customHeight="1">
      <c r="A432" s="26"/>
      <c r="B432" s="23"/>
      <c r="C432" s="19"/>
      <c r="D432" s="23"/>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ht="56.25" customHeight="1">
      <c r="A433" s="26"/>
      <c r="B433" s="23"/>
      <c r="C433" s="19"/>
      <c r="D433" s="23"/>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ht="56.25" customHeight="1">
      <c r="A434" s="26"/>
      <c r="B434" s="23"/>
      <c r="C434" s="19"/>
      <c r="D434" s="23"/>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ht="56.25" customHeight="1">
      <c r="A435" s="26"/>
      <c r="B435" s="23"/>
      <c r="C435" s="19"/>
      <c r="D435" s="23"/>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ht="56.25" customHeight="1">
      <c r="A436" s="26"/>
      <c r="B436" s="23"/>
      <c r="C436" s="19"/>
      <c r="D436" s="23"/>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ht="56.25" customHeight="1">
      <c r="A437" s="26"/>
      <c r="B437" s="23"/>
      <c r="C437" s="19"/>
      <c r="D437" s="23"/>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ht="56.25" customHeight="1">
      <c r="A438" s="26"/>
      <c r="B438" s="23"/>
      <c r="C438" s="19"/>
      <c r="D438" s="23"/>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ht="56.25" customHeight="1">
      <c r="A439" s="26"/>
      <c r="B439" s="23"/>
      <c r="C439" s="19"/>
      <c r="D439" s="23"/>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ht="56.25" customHeight="1">
      <c r="A440" s="26"/>
      <c r="B440" s="23"/>
      <c r="C440" s="19"/>
      <c r="D440" s="23"/>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ht="56.25" customHeight="1">
      <c r="A441" s="26"/>
      <c r="B441" s="23"/>
      <c r="C441" s="19"/>
      <c r="D441" s="23"/>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ht="56.25" customHeight="1">
      <c r="A442" s="26"/>
      <c r="B442" s="23"/>
      <c r="C442" s="19"/>
      <c r="D442" s="23"/>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ht="56.25" customHeight="1">
      <c r="A443" s="26"/>
      <c r="B443" s="23"/>
      <c r="C443" s="19"/>
      <c r="D443" s="23"/>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ht="56.25" customHeight="1">
      <c r="A444" s="26"/>
      <c r="B444" s="23"/>
      <c r="C444" s="19"/>
      <c r="D444" s="23"/>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ht="56.25" customHeight="1">
      <c r="A445" s="26"/>
      <c r="B445" s="23"/>
      <c r="C445" s="19"/>
      <c r="D445" s="23"/>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ht="56.25" customHeight="1">
      <c r="A446" s="26"/>
      <c r="B446" s="23"/>
      <c r="C446" s="19"/>
      <c r="D446" s="23"/>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ht="56.25" customHeight="1">
      <c r="A447" s="26"/>
      <c r="B447" s="23"/>
      <c r="C447" s="19"/>
      <c r="D447" s="23"/>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ht="56.25" customHeight="1">
      <c r="A448" s="26"/>
      <c r="B448" s="23"/>
      <c r="C448" s="19"/>
      <c r="D448" s="23"/>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ht="56.25" customHeight="1">
      <c r="A449" s="26"/>
      <c r="B449" s="23"/>
      <c r="C449" s="19"/>
      <c r="D449" s="23"/>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ht="56.25" customHeight="1">
      <c r="A450" s="26"/>
      <c r="B450" s="23"/>
      <c r="C450" s="19"/>
      <c r="D450" s="23"/>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ht="56.25" customHeight="1">
      <c r="A451" s="26"/>
      <c r="B451" s="23"/>
      <c r="C451" s="19"/>
      <c r="D451" s="23"/>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ht="56.25" customHeight="1">
      <c r="A452" s="26"/>
      <c r="B452" s="23"/>
      <c r="C452" s="19"/>
      <c r="D452" s="23"/>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ht="56.25" customHeight="1">
      <c r="A453" s="26"/>
      <c r="B453" s="23"/>
      <c r="C453" s="19"/>
      <c r="D453" s="23"/>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ht="56.25" customHeight="1">
      <c r="A454" s="26"/>
      <c r="B454" s="23"/>
      <c r="C454" s="19"/>
      <c r="D454" s="23"/>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ht="56.25" customHeight="1">
      <c r="A455" s="26"/>
      <c r="B455" s="23"/>
      <c r="C455" s="19"/>
      <c r="D455" s="23"/>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ht="56.25" customHeight="1">
      <c r="A456" s="26"/>
      <c r="B456" s="23"/>
      <c r="C456" s="19"/>
      <c r="D456" s="23"/>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ht="56.25" customHeight="1">
      <c r="A457" s="26"/>
      <c r="B457" s="23"/>
      <c r="C457" s="19"/>
      <c r="D457" s="23"/>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ht="56.25" customHeight="1">
      <c r="A458" s="26"/>
      <c r="B458" s="23"/>
      <c r="C458" s="19"/>
      <c r="D458" s="23"/>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ht="56.25" customHeight="1">
      <c r="A459" s="26"/>
      <c r="B459" s="23"/>
      <c r="C459" s="19"/>
      <c r="D459" s="23"/>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ht="56.25" customHeight="1">
      <c r="A460" s="26"/>
      <c r="B460" s="23"/>
      <c r="C460" s="19"/>
      <c r="D460" s="23"/>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ht="56.25" customHeight="1">
      <c r="A461" s="26"/>
      <c r="B461" s="23"/>
      <c r="C461" s="19"/>
      <c r="D461" s="23"/>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ht="56.25" customHeight="1">
      <c r="A462" s="26"/>
      <c r="B462" s="23"/>
      <c r="C462" s="19"/>
      <c r="D462" s="23"/>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ht="56.25" customHeight="1">
      <c r="A463" s="26"/>
      <c r="B463" s="23"/>
      <c r="C463" s="19"/>
      <c r="D463" s="23"/>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ht="56.25" customHeight="1">
      <c r="A464" s="26"/>
      <c r="B464" s="23"/>
      <c r="C464" s="19"/>
      <c r="D464" s="23"/>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ht="56.25" customHeight="1">
      <c r="A465" s="26"/>
      <c r="B465" s="23"/>
      <c r="C465" s="19"/>
      <c r="D465" s="23"/>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ht="56.25" customHeight="1">
      <c r="A466" s="26"/>
      <c r="B466" s="23"/>
      <c r="C466" s="19"/>
      <c r="D466" s="23"/>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ht="56.25" customHeight="1">
      <c r="A467" s="26"/>
      <c r="B467" s="23"/>
      <c r="C467" s="19"/>
      <c r="D467" s="23"/>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ht="56.25" customHeight="1">
      <c r="A468" s="26"/>
      <c r="B468" s="23"/>
      <c r="C468" s="19"/>
      <c r="D468" s="23"/>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ht="56.25" customHeight="1">
      <c r="A469" s="26"/>
      <c r="B469" s="23"/>
      <c r="C469" s="19"/>
      <c r="D469" s="23"/>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ht="56.25" customHeight="1">
      <c r="A470" s="26"/>
      <c r="B470" s="23"/>
      <c r="C470" s="19"/>
      <c r="D470" s="23"/>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ht="56.25" customHeight="1">
      <c r="A471" s="26"/>
      <c r="B471" s="23"/>
      <c r="C471" s="19"/>
      <c r="D471" s="23"/>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ht="56.25" customHeight="1">
      <c r="A472" s="26"/>
      <c r="B472" s="23"/>
      <c r="C472" s="19"/>
      <c r="D472" s="23"/>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ht="56.25" customHeight="1">
      <c r="A473" s="26"/>
      <c r="B473" s="23"/>
      <c r="C473" s="19"/>
      <c r="D473" s="23"/>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ht="56.25" customHeight="1">
      <c r="A474" s="26"/>
      <c r="B474" s="23"/>
      <c r="C474" s="19"/>
      <c r="D474" s="23"/>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ht="56.25" customHeight="1">
      <c r="A475" s="26"/>
      <c r="B475" s="23"/>
      <c r="C475" s="19"/>
      <c r="D475" s="23"/>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ht="56.25" customHeight="1">
      <c r="A476" s="26"/>
      <c r="B476" s="23"/>
      <c r="C476" s="19"/>
      <c r="D476" s="23"/>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ht="56.25" customHeight="1">
      <c r="A477" s="26"/>
      <c r="B477" s="23"/>
      <c r="C477" s="19"/>
      <c r="D477" s="23"/>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ht="56.25" customHeight="1">
      <c r="A478" s="26"/>
      <c r="B478" s="23"/>
      <c r="C478" s="19"/>
      <c r="D478" s="23"/>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ht="56.25" customHeight="1">
      <c r="A479" s="26"/>
      <c r="B479" s="23"/>
      <c r="C479" s="19"/>
      <c r="D479" s="23"/>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ht="56.25" customHeight="1">
      <c r="A480" s="26"/>
      <c r="B480" s="23"/>
      <c r="C480" s="19"/>
      <c r="D480" s="23"/>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ht="56.25" customHeight="1">
      <c r="A481" s="26"/>
      <c r="B481" s="23"/>
      <c r="C481" s="19"/>
      <c r="D481" s="23"/>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ht="56.25" customHeight="1">
      <c r="A482" s="26"/>
      <c r="B482" s="23"/>
      <c r="C482" s="19"/>
      <c r="D482" s="23"/>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ht="56.25" customHeight="1">
      <c r="A483" s="26"/>
      <c r="B483" s="23"/>
      <c r="C483" s="19"/>
      <c r="D483" s="23"/>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ht="56.25" customHeight="1">
      <c r="A484" s="26"/>
      <c r="B484" s="23"/>
      <c r="C484" s="19"/>
      <c r="D484" s="23"/>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ht="56.25" customHeight="1">
      <c r="A485" s="26"/>
      <c r="B485" s="23"/>
      <c r="C485" s="19"/>
      <c r="D485" s="23"/>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ht="56.25" customHeight="1">
      <c r="A486" s="26"/>
      <c r="B486" s="23"/>
      <c r="C486" s="19"/>
      <c r="D486" s="23"/>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ht="56.25" customHeight="1">
      <c r="A487" s="26"/>
      <c r="B487" s="23"/>
      <c r="C487" s="19"/>
      <c r="D487" s="23"/>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ht="56.25" customHeight="1">
      <c r="A488" s="26"/>
      <c r="B488" s="23"/>
      <c r="C488" s="19"/>
      <c r="D488" s="23"/>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ht="56.25" customHeight="1">
      <c r="A489" s="26"/>
      <c r="B489" s="23"/>
      <c r="C489" s="19"/>
      <c r="D489" s="23"/>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ht="56.25" customHeight="1">
      <c r="A490" s="26"/>
      <c r="B490" s="23"/>
      <c r="C490" s="19"/>
      <c r="D490" s="23"/>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ht="56.25" customHeight="1">
      <c r="A491" s="26"/>
      <c r="B491" s="23"/>
      <c r="C491" s="19"/>
      <c r="D491" s="23"/>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ht="56.25" customHeight="1">
      <c r="A492" s="26"/>
      <c r="B492" s="23"/>
      <c r="C492" s="19"/>
      <c r="D492" s="23"/>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ht="56.25" customHeight="1">
      <c r="A493" s="26"/>
      <c r="B493" s="23"/>
      <c r="C493" s="19"/>
      <c r="D493" s="23"/>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ht="56.25" customHeight="1">
      <c r="A494" s="26"/>
      <c r="B494" s="23"/>
      <c r="C494" s="19"/>
      <c r="D494" s="23"/>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ht="56.25" customHeight="1">
      <c r="A495" s="26"/>
      <c r="B495" s="23"/>
      <c r="C495" s="19"/>
      <c r="D495" s="23"/>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ht="56.25" customHeight="1">
      <c r="A496" s="26"/>
      <c r="B496" s="23"/>
      <c r="C496" s="19"/>
      <c r="D496" s="23"/>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ht="56.25" customHeight="1">
      <c r="A497" s="26"/>
      <c r="B497" s="23"/>
      <c r="C497" s="19"/>
      <c r="D497" s="23"/>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ht="56.25" customHeight="1">
      <c r="A498" s="26"/>
      <c r="B498" s="23"/>
      <c r="C498" s="19"/>
      <c r="D498" s="23"/>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ht="56.25" customHeight="1">
      <c r="A499" s="26"/>
      <c r="B499" s="23"/>
      <c r="C499" s="19"/>
      <c r="D499" s="23"/>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ht="56.25" customHeight="1">
      <c r="A500" s="26"/>
      <c r="B500" s="23"/>
      <c r="C500" s="19"/>
      <c r="D500" s="23"/>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ht="56.25" customHeight="1">
      <c r="A501" s="26"/>
      <c r="B501" s="23"/>
      <c r="C501" s="19"/>
      <c r="D501" s="23"/>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ht="56.25" customHeight="1">
      <c r="A502" s="26"/>
      <c r="B502" s="23"/>
      <c r="C502" s="19"/>
      <c r="D502" s="23"/>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ht="56.25" customHeight="1">
      <c r="A503" s="26"/>
      <c r="B503" s="23"/>
      <c r="C503" s="19"/>
      <c r="D503" s="23"/>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ht="56.25" customHeight="1">
      <c r="A504" s="26"/>
      <c r="B504" s="23"/>
      <c r="C504" s="19"/>
      <c r="D504" s="23"/>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ht="56.25" customHeight="1">
      <c r="A505" s="26"/>
      <c r="B505" s="23"/>
      <c r="C505" s="19"/>
      <c r="D505" s="23"/>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ht="56.25" customHeight="1">
      <c r="A506" s="26"/>
      <c r="B506" s="23"/>
      <c r="C506" s="19"/>
      <c r="D506" s="23"/>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ht="56.25" customHeight="1">
      <c r="A507" s="26"/>
      <c r="B507" s="23"/>
      <c r="C507" s="19"/>
      <c r="D507" s="23"/>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ht="56.25" customHeight="1">
      <c r="A508" s="26"/>
      <c r="B508" s="23"/>
      <c r="C508" s="19"/>
      <c r="D508" s="23"/>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ht="56.25" customHeight="1">
      <c r="A509" s="26"/>
      <c r="B509" s="23"/>
      <c r="C509" s="19"/>
      <c r="D509" s="23"/>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ht="56.25" customHeight="1">
      <c r="A510" s="26"/>
      <c r="B510" s="23"/>
      <c r="C510" s="19"/>
      <c r="D510" s="23"/>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ht="56.25" customHeight="1">
      <c r="A511" s="26"/>
      <c r="B511" s="23"/>
      <c r="C511" s="19"/>
      <c r="D511" s="23"/>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ht="56.25" customHeight="1">
      <c r="A512" s="26"/>
      <c r="B512" s="23"/>
      <c r="C512" s="19"/>
      <c r="D512" s="23"/>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ht="56.25" customHeight="1">
      <c r="A513" s="26"/>
      <c r="B513" s="23"/>
      <c r="C513" s="19"/>
      <c r="D513" s="23"/>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ht="56.25" customHeight="1">
      <c r="A514" s="26"/>
      <c r="B514" s="23"/>
      <c r="C514" s="19"/>
      <c r="D514" s="23"/>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ht="56.25" customHeight="1">
      <c r="A515" s="26"/>
      <c r="B515" s="23"/>
      <c r="C515" s="19"/>
      <c r="D515" s="23"/>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ht="56.25" customHeight="1">
      <c r="A516" s="26"/>
      <c r="B516" s="23"/>
      <c r="C516" s="19"/>
      <c r="D516" s="23"/>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ht="56.25" customHeight="1">
      <c r="A517" s="26"/>
      <c r="B517" s="23"/>
      <c r="C517" s="19"/>
      <c r="D517" s="23"/>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ht="56.25" customHeight="1">
      <c r="A518" s="26"/>
      <c r="B518" s="23"/>
      <c r="C518" s="19"/>
      <c r="D518" s="23"/>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ht="56.25" customHeight="1">
      <c r="A519" s="26"/>
      <c r="B519" s="23"/>
      <c r="C519" s="19"/>
      <c r="D519" s="23"/>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ht="56.25" customHeight="1">
      <c r="A520" s="26"/>
      <c r="B520" s="23"/>
      <c r="C520" s="19"/>
      <c r="D520" s="23"/>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ht="56.25" customHeight="1">
      <c r="A521" s="26"/>
      <c r="B521" s="23"/>
      <c r="C521" s="19"/>
      <c r="D521" s="23"/>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ht="56.25" customHeight="1">
      <c r="A522" s="26"/>
      <c r="B522" s="23"/>
      <c r="C522" s="19"/>
      <c r="D522" s="23"/>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ht="56.25" customHeight="1">
      <c r="A523" s="26"/>
      <c r="B523" s="23"/>
      <c r="C523" s="19"/>
      <c r="D523" s="23"/>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ht="56.25" customHeight="1">
      <c r="A524" s="26"/>
      <c r="B524" s="23"/>
      <c r="C524" s="19"/>
      <c r="D524" s="23"/>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ht="56.25" customHeight="1">
      <c r="A525" s="26"/>
      <c r="B525" s="23"/>
      <c r="C525" s="19"/>
      <c r="D525" s="23"/>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ht="56.25" customHeight="1">
      <c r="A526" s="26"/>
      <c r="B526" s="23"/>
      <c r="C526" s="19"/>
      <c r="D526" s="23"/>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ht="56.25" customHeight="1">
      <c r="A527" s="26"/>
      <c r="B527" s="23"/>
      <c r="C527" s="19"/>
      <c r="D527" s="23"/>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ht="56.25" customHeight="1">
      <c r="A528" s="26"/>
      <c r="B528" s="23"/>
      <c r="C528" s="19"/>
      <c r="D528" s="23"/>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ht="56.25" customHeight="1">
      <c r="A529" s="26"/>
      <c r="B529" s="23"/>
      <c r="C529" s="19"/>
      <c r="D529" s="23"/>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ht="56.25" customHeight="1">
      <c r="A530" s="26"/>
      <c r="B530" s="23"/>
      <c r="C530" s="19"/>
      <c r="D530" s="23"/>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ht="56.25" customHeight="1">
      <c r="A531" s="26"/>
      <c r="B531" s="23"/>
      <c r="C531" s="19"/>
      <c r="D531" s="23"/>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ht="56.25" customHeight="1">
      <c r="A532" s="26"/>
      <c r="B532" s="23"/>
      <c r="C532" s="19"/>
      <c r="D532" s="23"/>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ht="56.25" customHeight="1">
      <c r="A533" s="26"/>
      <c r="B533" s="23"/>
      <c r="C533" s="19"/>
      <c r="D533" s="23"/>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ht="56.25" customHeight="1">
      <c r="A534" s="26"/>
      <c r="B534" s="23"/>
      <c r="C534" s="19"/>
      <c r="D534" s="23"/>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ht="56.25" customHeight="1">
      <c r="A535" s="26"/>
      <c r="B535" s="23"/>
      <c r="C535" s="19"/>
      <c r="D535" s="23"/>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ht="56.25" customHeight="1">
      <c r="A536" s="26"/>
      <c r="B536" s="23"/>
      <c r="C536" s="19"/>
      <c r="D536" s="23"/>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ht="56.25" customHeight="1">
      <c r="A537" s="26"/>
      <c r="B537" s="23"/>
      <c r="C537" s="19"/>
      <c r="D537" s="23"/>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ht="56.25" customHeight="1">
      <c r="A538" s="26"/>
      <c r="B538" s="23"/>
      <c r="C538" s="19"/>
      <c r="D538" s="23"/>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ht="56.25" customHeight="1">
      <c r="A539" s="26"/>
      <c r="B539" s="23"/>
      <c r="C539" s="19"/>
      <c r="D539" s="23"/>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ht="56.25" customHeight="1">
      <c r="A540" s="26"/>
      <c r="B540" s="23"/>
      <c r="C540" s="19"/>
      <c r="D540" s="23"/>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ht="56.25" customHeight="1">
      <c r="A541" s="26"/>
      <c r="B541" s="23"/>
      <c r="C541" s="19"/>
      <c r="D541" s="23"/>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ht="56.25" customHeight="1">
      <c r="A542" s="26"/>
      <c r="B542" s="23"/>
      <c r="C542" s="19"/>
      <c r="D542" s="23"/>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ht="56.25" customHeight="1">
      <c r="A543" s="26"/>
      <c r="B543" s="23"/>
      <c r="C543" s="19"/>
      <c r="D543" s="23"/>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ht="56.25" customHeight="1">
      <c r="A544" s="26"/>
      <c r="B544" s="23"/>
      <c r="C544" s="19"/>
      <c r="D544" s="23"/>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ht="56.25" customHeight="1">
      <c r="A545" s="26"/>
      <c r="B545" s="23"/>
      <c r="C545" s="19"/>
      <c r="D545" s="23"/>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ht="56.25" customHeight="1">
      <c r="A546" s="26"/>
      <c r="B546" s="23"/>
      <c r="C546" s="19"/>
      <c r="D546" s="23"/>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ht="56.25" customHeight="1">
      <c r="A547" s="26"/>
      <c r="B547" s="23"/>
      <c r="C547" s="19"/>
      <c r="D547" s="23"/>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ht="56.25" customHeight="1">
      <c r="A548" s="26"/>
      <c r="B548" s="23"/>
      <c r="C548" s="19"/>
      <c r="D548" s="23"/>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ht="56.25" customHeight="1">
      <c r="A549" s="26"/>
      <c r="B549" s="23"/>
      <c r="C549" s="19"/>
      <c r="D549" s="23"/>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ht="56.25" customHeight="1">
      <c r="A550" s="26"/>
      <c r="B550" s="23"/>
      <c r="C550" s="19"/>
      <c r="D550" s="23"/>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ht="56.25" customHeight="1">
      <c r="A551" s="26"/>
      <c r="B551" s="23"/>
      <c r="C551" s="19"/>
      <c r="D551" s="23"/>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ht="56.25" customHeight="1">
      <c r="A552" s="26"/>
      <c r="B552" s="23"/>
      <c r="C552" s="19"/>
      <c r="D552" s="23"/>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ht="56.25" customHeight="1">
      <c r="A553" s="26"/>
      <c r="B553" s="23"/>
      <c r="C553" s="19"/>
      <c r="D553" s="23"/>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ht="56.25" customHeight="1">
      <c r="A554" s="26"/>
      <c r="B554" s="23"/>
      <c r="C554" s="19"/>
      <c r="D554" s="23"/>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ht="56.25" customHeight="1">
      <c r="A555" s="26"/>
      <c r="B555" s="23"/>
      <c r="C555" s="19"/>
      <c r="D555" s="23"/>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ht="56.25" customHeight="1">
      <c r="A556" s="26"/>
      <c r="B556" s="23"/>
      <c r="C556" s="19"/>
      <c r="D556" s="23"/>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ht="56.25" customHeight="1">
      <c r="A557" s="26"/>
      <c r="B557" s="23"/>
      <c r="C557" s="19"/>
      <c r="D557" s="23"/>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ht="56.25" customHeight="1">
      <c r="A558" s="26"/>
      <c r="B558" s="23"/>
      <c r="C558" s="19"/>
      <c r="D558" s="23"/>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ht="56.25" customHeight="1">
      <c r="A559" s="26"/>
      <c r="B559" s="23"/>
      <c r="C559" s="19"/>
      <c r="D559" s="23"/>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ht="56.25" customHeight="1">
      <c r="A560" s="26"/>
      <c r="B560" s="23"/>
      <c r="C560" s="19"/>
      <c r="D560" s="23"/>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ht="56.25" customHeight="1">
      <c r="A561" s="26"/>
      <c r="B561" s="23"/>
      <c r="C561" s="19"/>
      <c r="D561" s="23"/>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ht="56.25" customHeight="1">
      <c r="A562" s="26"/>
      <c r="B562" s="23"/>
      <c r="C562" s="19"/>
      <c r="D562" s="23"/>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ht="56.25" customHeight="1">
      <c r="A563" s="26"/>
      <c r="B563" s="23"/>
      <c r="C563" s="19"/>
      <c r="D563" s="23"/>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ht="56.25" customHeight="1">
      <c r="A564" s="26"/>
      <c r="B564" s="23"/>
      <c r="C564" s="19"/>
      <c r="D564" s="23"/>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ht="56.25" customHeight="1">
      <c r="A565" s="26"/>
      <c r="B565" s="23"/>
      <c r="C565" s="19"/>
      <c r="D565" s="23"/>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ht="56.25" customHeight="1">
      <c r="A566" s="26"/>
      <c r="B566" s="23"/>
      <c r="C566" s="19"/>
      <c r="D566" s="23"/>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ht="56.25" customHeight="1">
      <c r="A567" s="26"/>
      <c r="B567" s="23"/>
      <c r="C567" s="19"/>
      <c r="D567" s="23"/>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ht="56.25" customHeight="1">
      <c r="A568" s="26"/>
      <c r="B568" s="23"/>
      <c r="C568" s="19"/>
      <c r="D568" s="23"/>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ht="56.25" customHeight="1">
      <c r="A569" s="26"/>
      <c r="B569" s="23"/>
      <c r="C569" s="19"/>
      <c r="D569" s="23"/>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ht="56.25" customHeight="1">
      <c r="A570" s="26"/>
      <c r="B570" s="23"/>
      <c r="C570" s="19"/>
      <c r="D570" s="23"/>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ht="56.25" customHeight="1">
      <c r="A571" s="26"/>
      <c r="B571" s="23"/>
      <c r="C571" s="19"/>
      <c r="D571" s="23"/>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ht="56.25" customHeight="1">
      <c r="A572" s="26"/>
      <c r="B572" s="23"/>
      <c r="C572" s="19"/>
      <c r="D572" s="23"/>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ht="56.25" customHeight="1">
      <c r="A573" s="26"/>
      <c r="B573" s="23"/>
      <c r="C573" s="19"/>
      <c r="D573" s="23"/>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ht="56.25" customHeight="1">
      <c r="A574" s="26"/>
      <c r="B574" s="23"/>
      <c r="C574" s="19"/>
      <c r="D574" s="23"/>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ht="56.25" customHeight="1">
      <c r="A575" s="26"/>
      <c r="B575" s="23"/>
      <c r="C575" s="19"/>
      <c r="D575" s="23"/>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ht="56.25" customHeight="1">
      <c r="A576" s="26"/>
      <c r="B576" s="23"/>
      <c r="C576" s="19"/>
      <c r="D576" s="23"/>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ht="56.25" customHeight="1">
      <c r="A577" s="26"/>
      <c r="B577" s="23"/>
      <c r="C577" s="19"/>
      <c r="D577" s="23"/>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ht="56.25" customHeight="1">
      <c r="A578" s="26"/>
      <c r="B578" s="23"/>
      <c r="C578" s="19"/>
      <c r="D578" s="23"/>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ht="56.25" customHeight="1">
      <c r="A579" s="26"/>
      <c r="B579" s="23"/>
      <c r="C579" s="19"/>
      <c r="D579" s="23"/>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ht="56.25" customHeight="1">
      <c r="A580" s="26"/>
      <c r="B580" s="23"/>
      <c r="C580" s="19"/>
      <c r="D580" s="23"/>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ht="56.25" customHeight="1">
      <c r="A581" s="26"/>
      <c r="B581" s="23"/>
      <c r="C581" s="19"/>
      <c r="D581" s="23"/>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ht="56.25" customHeight="1">
      <c r="A582" s="26"/>
      <c r="B582" s="23"/>
      <c r="C582" s="19"/>
      <c r="D582" s="23"/>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ht="56.25" customHeight="1">
      <c r="A583" s="26"/>
      <c r="B583" s="23"/>
      <c r="C583" s="19"/>
      <c r="D583" s="23"/>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ht="56.25" customHeight="1">
      <c r="A584" s="26"/>
      <c r="B584" s="23"/>
      <c r="C584" s="19"/>
      <c r="D584" s="23"/>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ht="56.25" customHeight="1">
      <c r="A585" s="26"/>
      <c r="B585" s="23"/>
      <c r="C585" s="19"/>
      <c r="D585" s="23"/>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ht="56.25" customHeight="1">
      <c r="A586" s="26"/>
      <c r="B586" s="23"/>
      <c r="C586" s="19"/>
      <c r="D586" s="23"/>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ht="56.25" customHeight="1">
      <c r="A587" s="26"/>
      <c r="B587" s="23"/>
      <c r="C587" s="19"/>
      <c r="D587" s="23"/>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ht="56.25" customHeight="1">
      <c r="A588" s="26"/>
      <c r="B588" s="23"/>
      <c r="C588" s="19"/>
      <c r="D588" s="23"/>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ht="56.25" customHeight="1">
      <c r="A589" s="26"/>
      <c r="B589" s="23"/>
      <c r="C589" s="19"/>
      <c r="D589" s="23"/>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ht="56.25" customHeight="1">
      <c r="A590" s="26"/>
      <c r="B590" s="23"/>
      <c r="C590" s="19"/>
      <c r="D590" s="23"/>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ht="56.25" customHeight="1">
      <c r="A591" s="26"/>
      <c r="B591" s="23"/>
      <c r="C591" s="19"/>
      <c r="D591" s="23"/>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ht="56.25" customHeight="1">
      <c r="A592" s="26"/>
      <c r="B592" s="23"/>
      <c r="C592" s="19"/>
      <c r="D592" s="23"/>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ht="56.25" customHeight="1">
      <c r="A593" s="26"/>
      <c r="B593" s="23"/>
      <c r="C593" s="19"/>
      <c r="D593" s="23"/>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ht="56.25" customHeight="1">
      <c r="A594" s="26"/>
      <c r="B594" s="23"/>
      <c r="C594" s="19"/>
      <c r="D594" s="23"/>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ht="56.25" customHeight="1">
      <c r="A595" s="26"/>
      <c r="B595" s="23"/>
      <c r="C595" s="19"/>
      <c r="D595" s="23"/>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ht="56.25" customHeight="1">
      <c r="A596" s="26"/>
      <c r="B596" s="23"/>
      <c r="C596" s="19"/>
      <c r="D596" s="23"/>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ht="56.25" customHeight="1">
      <c r="A597" s="26"/>
      <c r="B597" s="23"/>
      <c r="C597" s="19"/>
      <c r="D597" s="23"/>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ht="56.25" customHeight="1">
      <c r="A598" s="26"/>
      <c r="B598" s="23"/>
      <c r="C598" s="19"/>
      <c r="D598" s="23"/>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ht="56.25" customHeight="1">
      <c r="A599" s="26"/>
      <c r="B599" s="23"/>
      <c r="C599" s="19"/>
      <c r="D599" s="23"/>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ht="56.25" customHeight="1">
      <c r="A600" s="26"/>
      <c r="B600" s="23"/>
      <c r="C600" s="19"/>
      <c r="D600" s="23"/>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ht="56.25" customHeight="1">
      <c r="A601" s="26"/>
      <c r="B601" s="23"/>
      <c r="C601" s="19"/>
      <c r="D601" s="23"/>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ht="56.25" customHeight="1">
      <c r="A602" s="26"/>
      <c r="B602" s="23"/>
      <c r="C602" s="19"/>
      <c r="D602" s="23"/>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ht="56.25" customHeight="1">
      <c r="A603" s="26"/>
      <c r="B603" s="23"/>
      <c r="C603" s="19"/>
      <c r="D603" s="23"/>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ht="56.25" customHeight="1">
      <c r="A604" s="26"/>
      <c r="B604" s="23"/>
      <c r="C604" s="19"/>
      <c r="D604" s="23"/>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ht="56.25" customHeight="1">
      <c r="A605" s="26"/>
      <c r="B605" s="23"/>
      <c r="C605" s="19"/>
      <c r="D605" s="23"/>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ht="56.25" customHeight="1">
      <c r="A606" s="26"/>
      <c r="B606" s="23"/>
      <c r="C606" s="19"/>
      <c r="D606" s="23"/>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ht="56.25" customHeight="1">
      <c r="A607" s="26"/>
      <c r="B607" s="23"/>
      <c r="C607" s="19"/>
      <c r="D607" s="23"/>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ht="56.25" customHeight="1">
      <c r="A608" s="26"/>
      <c r="B608" s="23"/>
      <c r="C608" s="19"/>
      <c r="D608" s="23"/>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ht="56.25" customHeight="1">
      <c r="A609" s="26"/>
      <c r="B609" s="23"/>
      <c r="C609" s="19"/>
      <c r="D609" s="23"/>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ht="56.25" customHeight="1">
      <c r="A610" s="26"/>
      <c r="B610" s="23"/>
      <c r="C610" s="19"/>
      <c r="D610" s="23"/>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ht="56.25" customHeight="1">
      <c r="A611" s="26"/>
      <c r="B611" s="23"/>
      <c r="C611" s="19"/>
      <c r="D611" s="23"/>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ht="56.25" customHeight="1">
      <c r="A612" s="26"/>
      <c r="B612" s="23"/>
      <c r="C612" s="19"/>
      <c r="D612" s="23"/>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ht="56.25" customHeight="1">
      <c r="A613" s="26"/>
      <c r="B613" s="23"/>
      <c r="C613" s="19"/>
      <c r="D613" s="23"/>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ht="56.25" customHeight="1">
      <c r="A614" s="26"/>
      <c r="B614" s="23"/>
      <c r="C614" s="19"/>
      <c r="D614" s="23"/>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ht="56.25" customHeight="1">
      <c r="A615" s="26"/>
      <c r="B615" s="23"/>
      <c r="C615" s="19"/>
      <c r="D615" s="23"/>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ht="56.25" customHeight="1">
      <c r="A616" s="26"/>
      <c r="B616" s="23"/>
      <c r="C616" s="19"/>
      <c r="D616" s="23"/>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ht="56.25" customHeight="1">
      <c r="A617" s="26"/>
      <c r="B617" s="23"/>
      <c r="C617" s="19"/>
      <c r="D617" s="23"/>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ht="56.25" customHeight="1">
      <c r="A618" s="26"/>
      <c r="B618" s="23"/>
      <c r="C618" s="19"/>
      <c r="D618" s="23"/>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ht="56.25" customHeight="1">
      <c r="A619" s="26"/>
      <c r="B619" s="23"/>
      <c r="C619" s="19"/>
      <c r="D619" s="23"/>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ht="56.25" customHeight="1">
      <c r="A620" s="26"/>
      <c r="B620" s="23"/>
      <c r="C620" s="19"/>
      <c r="D620" s="23"/>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ht="56.25" customHeight="1">
      <c r="A621" s="26"/>
      <c r="B621" s="23"/>
      <c r="C621" s="19"/>
      <c r="D621" s="23"/>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ht="56.25" customHeight="1">
      <c r="A622" s="26"/>
      <c r="B622" s="23"/>
      <c r="C622" s="19"/>
      <c r="D622" s="23"/>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ht="56.25" customHeight="1">
      <c r="A623" s="26"/>
      <c r="B623" s="23"/>
      <c r="C623" s="19"/>
      <c r="D623" s="23"/>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ht="56.25" customHeight="1">
      <c r="A624" s="26"/>
      <c r="B624" s="23"/>
      <c r="C624" s="19"/>
      <c r="D624" s="23"/>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ht="56.25" customHeight="1">
      <c r="A625" s="26"/>
      <c r="B625" s="23"/>
      <c r="C625" s="19"/>
      <c r="D625" s="23"/>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ht="56.25" customHeight="1">
      <c r="A626" s="26"/>
      <c r="B626" s="23"/>
      <c r="C626" s="19"/>
      <c r="D626" s="23"/>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ht="56.25" customHeight="1">
      <c r="A627" s="26"/>
      <c r="B627" s="23"/>
      <c r="C627" s="19"/>
      <c r="D627" s="23"/>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ht="56.25" customHeight="1">
      <c r="A628" s="26"/>
      <c r="B628" s="23"/>
      <c r="C628" s="19"/>
      <c r="D628" s="23"/>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ht="56.25" customHeight="1">
      <c r="A629" s="26"/>
      <c r="B629" s="23"/>
      <c r="C629" s="19"/>
      <c r="D629" s="23"/>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ht="56.25" customHeight="1">
      <c r="A630" s="26"/>
      <c r="B630" s="23"/>
      <c r="C630" s="19"/>
      <c r="D630" s="23"/>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ht="56.25" customHeight="1">
      <c r="A631" s="26"/>
      <c r="B631" s="23"/>
      <c r="C631" s="19"/>
      <c r="D631" s="23"/>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ht="56.25" customHeight="1">
      <c r="A632" s="26"/>
      <c r="B632" s="23"/>
      <c r="C632" s="19"/>
      <c r="D632" s="23"/>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ht="56.25" customHeight="1">
      <c r="A633" s="26"/>
      <c r="B633" s="23"/>
      <c r="C633" s="19"/>
      <c r="D633" s="23"/>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ht="56.25" customHeight="1">
      <c r="A634" s="26"/>
      <c r="B634" s="23"/>
      <c r="C634" s="19"/>
      <c r="D634" s="23"/>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ht="56.25" customHeight="1">
      <c r="A635" s="26"/>
      <c r="B635" s="23"/>
      <c r="C635" s="19"/>
      <c r="D635" s="23"/>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ht="56.25" customHeight="1">
      <c r="A636" s="26"/>
      <c r="B636" s="23"/>
      <c r="C636" s="19"/>
      <c r="D636" s="23"/>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ht="56.25" customHeight="1">
      <c r="A637" s="26"/>
      <c r="B637" s="23"/>
      <c r="C637" s="19"/>
      <c r="D637" s="23"/>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ht="56.25" customHeight="1">
      <c r="A638" s="26"/>
      <c r="B638" s="23"/>
      <c r="C638" s="19"/>
      <c r="D638" s="23"/>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ht="56.25" customHeight="1">
      <c r="A639" s="26"/>
      <c r="B639" s="23"/>
      <c r="C639" s="19"/>
      <c r="D639" s="23"/>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ht="56.25" customHeight="1">
      <c r="A640" s="26"/>
      <c r="B640" s="23"/>
      <c r="C640" s="19"/>
      <c r="D640" s="23"/>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ht="56.25" customHeight="1">
      <c r="A641" s="26"/>
      <c r="B641" s="23"/>
      <c r="C641" s="19"/>
      <c r="D641" s="23"/>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ht="56.25" customHeight="1">
      <c r="A642" s="26"/>
      <c r="B642" s="23"/>
      <c r="C642" s="19"/>
      <c r="D642" s="23"/>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ht="56.25" customHeight="1">
      <c r="A643" s="26"/>
      <c r="B643" s="23"/>
      <c r="C643" s="19"/>
      <c r="D643" s="23"/>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ht="56.25" customHeight="1">
      <c r="A644" s="26"/>
      <c r="B644" s="23"/>
      <c r="C644" s="19"/>
      <c r="D644" s="23"/>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ht="56.25" customHeight="1">
      <c r="A645" s="26"/>
      <c r="B645" s="23"/>
      <c r="C645" s="19"/>
      <c r="D645" s="23"/>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ht="56.25" customHeight="1">
      <c r="A646" s="26"/>
      <c r="B646" s="23"/>
      <c r="C646" s="19"/>
      <c r="D646" s="23"/>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ht="56.25" customHeight="1">
      <c r="A647" s="26"/>
      <c r="B647" s="23"/>
      <c r="C647" s="19"/>
      <c r="D647" s="23"/>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ht="56.25" customHeight="1">
      <c r="A648" s="26"/>
      <c r="B648" s="23"/>
      <c r="C648" s="19"/>
      <c r="D648" s="23"/>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ht="56.25" customHeight="1">
      <c r="A649" s="26"/>
      <c r="B649" s="23"/>
      <c r="C649" s="19"/>
      <c r="D649" s="23"/>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ht="56.25" customHeight="1">
      <c r="A650" s="26"/>
      <c r="B650" s="23"/>
      <c r="C650" s="19"/>
      <c r="D650" s="23"/>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ht="56.25" customHeight="1">
      <c r="A651" s="26"/>
      <c r="B651" s="23"/>
      <c r="C651" s="19"/>
      <c r="D651" s="23"/>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ht="56.25" customHeight="1">
      <c r="A652" s="26"/>
      <c r="B652" s="23"/>
      <c r="C652" s="19"/>
      <c r="D652" s="23"/>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ht="56.25" customHeight="1">
      <c r="A653" s="26"/>
      <c r="B653" s="23"/>
      <c r="C653" s="19"/>
      <c r="D653" s="23"/>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ht="56.25" customHeight="1">
      <c r="A654" s="26"/>
      <c r="B654" s="23"/>
      <c r="C654" s="19"/>
      <c r="D654" s="23"/>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ht="56.25" customHeight="1">
      <c r="A655" s="26"/>
      <c r="B655" s="23"/>
      <c r="C655" s="19"/>
      <c r="D655" s="23"/>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ht="56.25" customHeight="1">
      <c r="A656" s="26"/>
      <c r="B656" s="23"/>
      <c r="C656" s="19"/>
      <c r="D656" s="23"/>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ht="56.25" customHeight="1">
      <c r="A657" s="26"/>
      <c r="B657" s="23"/>
      <c r="C657" s="19"/>
      <c r="D657" s="23"/>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ht="56.25" customHeight="1">
      <c r="A658" s="26"/>
      <c r="B658" s="23"/>
      <c r="C658" s="19"/>
      <c r="D658" s="23"/>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ht="56.25" customHeight="1">
      <c r="A659" s="26"/>
      <c r="B659" s="23"/>
      <c r="C659" s="19"/>
      <c r="D659" s="23"/>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ht="56.25" customHeight="1">
      <c r="A660" s="26"/>
      <c r="B660" s="23"/>
      <c r="C660" s="19"/>
      <c r="D660" s="23"/>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ht="56.25" customHeight="1">
      <c r="A661" s="26"/>
      <c r="B661" s="23"/>
      <c r="C661" s="19"/>
      <c r="D661" s="23"/>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ht="56.25" customHeight="1">
      <c r="A662" s="26"/>
      <c r="B662" s="23"/>
      <c r="C662" s="19"/>
      <c r="D662" s="23"/>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ht="56.25" customHeight="1">
      <c r="A663" s="26"/>
      <c r="B663" s="23"/>
      <c r="C663" s="19"/>
      <c r="D663" s="23"/>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ht="56.25" customHeight="1">
      <c r="A664" s="26"/>
      <c r="B664" s="23"/>
      <c r="C664" s="19"/>
      <c r="D664" s="23"/>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ht="56.25" customHeight="1">
      <c r="A665" s="26"/>
      <c r="B665" s="23"/>
      <c r="C665" s="19"/>
      <c r="D665" s="23"/>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ht="56.25" customHeight="1">
      <c r="A666" s="26"/>
      <c r="B666" s="23"/>
      <c r="C666" s="19"/>
      <c r="D666" s="23"/>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ht="56.25" customHeight="1">
      <c r="A667" s="26"/>
      <c r="B667" s="23"/>
      <c r="C667" s="19"/>
      <c r="D667" s="23"/>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ht="56.25" customHeight="1">
      <c r="A668" s="26"/>
      <c r="B668" s="23"/>
      <c r="C668" s="19"/>
      <c r="D668" s="23"/>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ht="56.25" customHeight="1">
      <c r="A669" s="26"/>
      <c r="B669" s="23"/>
      <c r="C669" s="19"/>
      <c r="D669" s="23"/>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ht="56.25" customHeight="1">
      <c r="A670" s="26"/>
      <c r="B670" s="23"/>
      <c r="C670" s="19"/>
      <c r="D670" s="23"/>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ht="56.25" customHeight="1">
      <c r="A671" s="26"/>
      <c r="B671" s="23"/>
      <c r="C671" s="19"/>
      <c r="D671" s="23"/>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ht="56.25" customHeight="1">
      <c r="A672" s="26"/>
      <c r="B672" s="23"/>
      <c r="C672" s="19"/>
      <c r="D672" s="23"/>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ht="56.25" customHeight="1">
      <c r="A673" s="26"/>
      <c r="B673" s="23"/>
      <c r="C673" s="19"/>
      <c r="D673" s="23"/>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ht="56.25" customHeight="1">
      <c r="A674" s="26"/>
      <c r="B674" s="23"/>
      <c r="C674" s="19"/>
      <c r="D674" s="23"/>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ht="56.25" customHeight="1">
      <c r="A675" s="26"/>
      <c r="B675" s="23"/>
      <c r="C675" s="19"/>
      <c r="D675" s="23"/>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ht="56.25" customHeight="1">
      <c r="A676" s="26"/>
      <c r="B676" s="23"/>
      <c r="C676" s="19"/>
      <c r="D676" s="23"/>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ht="56.25" customHeight="1">
      <c r="A677" s="26"/>
      <c r="B677" s="23"/>
      <c r="C677" s="19"/>
      <c r="D677" s="23"/>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ht="56.25" customHeight="1">
      <c r="A678" s="26"/>
      <c r="B678" s="23"/>
      <c r="C678" s="19"/>
      <c r="D678" s="23"/>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ht="56.25" customHeight="1">
      <c r="A679" s="26"/>
      <c r="B679" s="23"/>
      <c r="C679" s="19"/>
      <c r="D679" s="23"/>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ht="56.25" customHeight="1">
      <c r="A680" s="26"/>
      <c r="B680" s="23"/>
      <c r="C680" s="19"/>
      <c r="D680" s="23"/>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ht="56.25" customHeight="1">
      <c r="A681" s="26"/>
      <c r="B681" s="23"/>
      <c r="C681" s="19"/>
      <c r="D681" s="23"/>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ht="56.25" customHeight="1">
      <c r="A682" s="26"/>
      <c r="B682" s="23"/>
      <c r="C682" s="19"/>
      <c r="D682" s="23"/>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ht="56.25" customHeight="1">
      <c r="A683" s="26"/>
      <c r="B683" s="23"/>
      <c r="C683" s="19"/>
      <c r="D683" s="23"/>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ht="56.25" customHeight="1">
      <c r="A684" s="26"/>
      <c r="B684" s="23"/>
      <c r="C684" s="19"/>
      <c r="D684" s="23"/>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ht="56.25" customHeight="1">
      <c r="A685" s="26"/>
      <c r="B685" s="23"/>
      <c r="C685" s="19"/>
      <c r="D685" s="23"/>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ht="56.25" customHeight="1">
      <c r="A686" s="26"/>
      <c r="B686" s="23"/>
      <c r="C686" s="19"/>
      <c r="D686" s="23"/>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ht="56.25" customHeight="1">
      <c r="A687" s="26"/>
      <c r="B687" s="23"/>
      <c r="C687" s="19"/>
      <c r="D687" s="23"/>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ht="56.25" customHeight="1">
      <c r="A688" s="26"/>
      <c r="B688" s="23"/>
      <c r="C688" s="19"/>
      <c r="D688" s="23"/>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ht="56.25" customHeight="1">
      <c r="A689" s="26"/>
      <c r="B689" s="23"/>
      <c r="C689" s="19"/>
      <c r="D689" s="23"/>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ht="56.25" customHeight="1">
      <c r="A690" s="26"/>
      <c r="B690" s="23"/>
      <c r="C690" s="19"/>
      <c r="D690" s="23"/>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ht="56.25" customHeight="1">
      <c r="A691" s="26"/>
      <c r="B691" s="23"/>
      <c r="C691" s="19"/>
      <c r="D691" s="23"/>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ht="56.25" customHeight="1">
      <c r="A692" s="26"/>
      <c r="B692" s="23"/>
      <c r="C692" s="19"/>
      <c r="D692" s="23"/>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ht="56.25" customHeight="1">
      <c r="A693" s="26"/>
      <c r="B693" s="23"/>
      <c r="C693" s="19"/>
      <c r="D693" s="23"/>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ht="56.25" customHeight="1">
      <c r="A694" s="26"/>
      <c r="B694" s="23"/>
      <c r="C694" s="19"/>
      <c r="D694" s="23"/>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ht="56.25" customHeight="1">
      <c r="A695" s="26"/>
      <c r="B695" s="23"/>
      <c r="C695" s="19"/>
      <c r="D695" s="23"/>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ht="56.25" customHeight="1">
      <c r="A696" s="26"/>
      <c r="B696" s="23"/>
      <c r="C696" s="19"/>
      <c r="D696" s="23"/>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ht="56.25" customHeight="1">
      <c r="A697" s="26"/>
      <c r="B697" s="23"/>
      <c r="C697" s="19"/>
      <c r="D697" s="23"/>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ht="56.25" customHeight="1">
      <c r="A698" s="26"/>
      <c r="B698" s="23"/>
      <c r="C698" s="19"/>
      <c r="D698" s="23"/>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ht="56.25" customHeight="1">
      <c r="A699" s="26"/>
      <c r="B699" s="23"/>
      <c r="C699" s="19"/>
      <c r="D699" s="23"/>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ht="56.25" customHeight="1">
      <c r="A700" s="26"/>
      <c r="B700" s="23"/>
      <c r="C700" s="19"/>
      <c r="D700" s="23"/>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ht="56.25" customHeight="1">
      <c r="A701" s="26"/>
      <c r="B701" s="23"/>
      <c r="C701" s="19"/>
      <c r="D701" s="23"/>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ht="56.25" customHeight="1">
      <c r="A702" s="26"/>
      <c r="B702" s="23"/>
      <c r="C702" s="19"/>
      <c r="D702" s="23"/>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ht="56.25" customHeight="1">
      <c r="A703" s="26"/>
      <c r="B703" s="23"/>
      <c r="C703" s="19"/>
      <c r="D703" s="23"/>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ht="56.25" customHeight="1">
      <c r="A704" s="26"/>
      <c r="B704" s="23"/>
      <c r="C704" s="19"/>
      <c r="D704" s="23"/>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ht="56.25" customHeight="1">
      <c r="A705" s="26"/>
      <c r="B705" s="23"/>
      <c r="C705" s="19"/>
      <c r="D705" s="23"/>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ht="56.25" customHeight="1">
      <c r="A706" s="26"/>
      <c r="B706" s="23"/>
      <c r="C706" s="19"/>
      <c r="D706" s="23"/>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ht="56.25" customHeight="1">
      <c r="A707" s="26"/>
      <c r="B707" s="23"/>
      <c r="C707" s="19"/>
      <c r="D707" s="23"/>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ht="56.25" customHeight="1">
      <c r="A708" s="26"/>
      <c r="B708" s="23"/>
      <c r="C708" s="19"/>
      <c r="D708" s="23"/>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ht="56.25" customHeight="1">
      <c r="A709" s="26"/>
      <c r="B709" s="23"/>
      <c r="C709" s="19"/>
      <c r="D709" s="23"/>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ht="56.25" customHeight="1">
      <c r="A710" s="26"/>
      <c r="B710" s="23"/>
      <c r="C710" s="19"/>
      <c r="D710" s="23"/>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ht="56.25" customHeight="1">
      <c r="A711" s="26"/>
      <c r="B711" s="23"/>
      <c r="C711" s="19"/>
      <c r="D711" s="23"/>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ht="56.25" customHeight="1">
      <c r="A712" s="26"/>
      <c r="B712" s="23"/>
      <c r="C712" s="19"/>
      <c r="D712" s="23"/>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ht="56.25" customHeight="1">
      <c r="A713" s="26"/>
      <c r="B713" s="23"/>
      <c r="C713" s="19"/>
      <c r="D713" s="23"/>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ht="56.25" customHeight="1">
      <c r="A714" s="26"/>
      <c r="B714" s="23"/>
      <c r="C714" s="19"/>
      <c r="D714" s="23"/>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ht="56.25" customHeight="1">
      <c r="A715" s="26"/>
      <c r="B715" s="23"/>
      <c r="C715" s="19"/>
      <c r="D715" s="23"/>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ht="56.25" customHeight="1">
      <c r="A716" s="26"/>
      <c r="B716" s="23"/>
      <c r="C716" s="19"/>
      <c r="D716" s="23"/>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ht="56.25" customHeight="1">
      <c r="A717" s="26"/>
      <c r="B717" s="23"/>
      <c r="C717" s="19"/>
      <c r="D717" s="23"/>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ht="56.25" customHeight="1">
      <c r="A718" s="26"/>
      <c r="B718" s="23"/>
      <c r="C718" s="19"/>
      <c r="D718" s="23"/>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ht="56.25" customHeight="1">
      <c r="A719" s="26"/>
      <c r="B719" s="23"/>
      <c r="C719" s="19"/>
      <c r="D719" s="23"/>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ht="56.25" customHeight="1">
      <c r="A720" s="26"/>
      <c r="B720" s="23"/>
      <c r="C720" s="19"/>
      <c r="D720" s="23"/>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ht="56.25" customHeight="1">
      <c r="A721" s="26"/>
      <c r="B721" s="23"/>
      <c r="C721" s="19"/>
      <c r="D721" s="23"/>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ht="56.25" customHeight="1">
      <c r="A722" s="26"/>
      <c r="B722" s="23"/>
      <c r="C722" s="19"/>
      <c r="D722" s="23"/>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ht="56.25" customHeight="1">
      <c r="A723" s="26"/>
      <c r="B723" s="23"/>
      <c r="C723" s="19"/>
      <c r="D723" s="23"/>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ht="56.25" customHeight="1">
      <c r="A724" s="26"/>
      <c r="B724" s="23"/>
      <c r="C724" s="19"/>
      <c r="D724" s="23"/>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ht="56.25" customHeight="1">
      <c r="A725" s="26"/>
      <c r="B725" s="23"/>
      <c r="C725" s="19"/>
      <c r="D725" s="23"/>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ht="56.25" customHeight="1">
      <c r="A726" s="26"/>
      <c r="B726" s="23"/>
      <c r="C726" s="19"/>
      <c r="D726" s="23"/>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ht="56.25" customHeight="1">
      <c r="A727" s="26"/>
      <c r="B727" s="23"/>
      <c r="C727" s="19"/>
      <c r="D727" s="23"/>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ht="56.25" customHeight="1">
      <c r="A728" s="26"/>
      <c r="B728" s="23"/>
      <c r="C728" s="19"/>
      <c r="D728" s="23"/>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ht="56.25" customHeight="1">
      <c r="A729" s="26"/>
      <c r="B729" s="23"/>
      <c r="C729" s="19"/>
      <c r="D729" s="23"/>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ht="56.25" customHeight="1">
      <c r="A730" s="26"/>
      <c r="B730" s="23"/>
      <c r="C730" s="19"/>
      <c r="D730" s="23"/>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ht="56.25" customHeight="1">
      <c r="A731" s="26"/>
      <c r="B731" s="23"/>
      <c r="C731" s="19"/>
      <c r="D731" s="23"/>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ht="56.25" customHeight="1">
      <c r="A732" s="26"/>
      <c r="B732" s="23"/>
      <c r="C732" s="19"/>
      <c r="D732" s="23"/>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ht="56.25" customHeight="1">
      <c r="A733" s="26"/>
      <c r="B733" s="23"/>
      <c r="C733" s="19"/>
      <c r="D733" s="23"/>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ht="56.25" customHeight="1">
      <c r="A734" s="26"/>
      <c r="B734" s="23"/>
      <c r="C734" s="19"/>
      <c r="D734" s="23"/>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ht="56.25" customHeight="1">
      <c r="A735" s="26"/>
      <c r="B735" s="23"/>
      <c r="C735" s="19"/>
      <c r="D735" s="23"/>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ht="56.25" customHeight="1">
      <c r="A736" s="26"/>
      <c r="B736" s="23"/>
      <c r="C736" s="19"/>
      <c r="D736" s="23"/>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ht="56.25" customHeight="1">
      <c r="A737" s="26"/>
      <c r="B737" s="23"/>
      <c r="C737" s="19"/>
      <c r="D737" s="23"/>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ht="56.25" customHeight="1">
      <c r="A738" s="26"/>
      <c r="B738" s="23"/>
      <c r="C738" s="19"/>
      <c r="D738" s="23"/>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ht="56.25" customHeight="1">
      <c r="A739" s="26"/>
      <c r="B739" s="23"/>
      <c r="C739" s="19"/>
      <c r="D739" s="23"/>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ht="56.25" customHeight="1">
      <c r="A740" s="26"/>
      <c r="B740" s="23"/>
      <c r="C740" s="19"/>
      <c r="D740" s="23"/>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ht="56.25" customHeight="1">
      <c r="A741" s="26"/>
      <c r="B741" s="23"/>
      <c r="C741" s="19"/>
      <c r="D741" s="23"/>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ht="56.25" customHeight="1">
      <c r="A742" s="26"/>
      <c r="B742" s="23"/>
      <c r="C742" s="19"/>
      <c r="D742" s="23"/>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ht="56.25" customHeight="1">
      <c r="A743" s="26"/>
      <c r="B743" s="23"/>
      <c r="C743" s="19"/>
      <c r="D743" s="23"/>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ht="56.25" customHeight="1">
      <c r="A744" s="26"/>
      <c r="B744" s="23"/>
      <c r="C744" s="19"/>
      <c r="D744" s="23"/>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ht="56.25" customHeight="1">
      <c r="A745" s="26"/>
      <c r="B745" s="23"/>
      <c r="C745" s="19"/>
      <c r="D745" s="23"/>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ht="56.25" customHeight="1">
      <c r="A746" s="26"/>
      <c r="B746" s="23"/>
      <c r="C746" s="19"/>
      <c r="D746" s="23"/>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ht="56.25" customHeight="1">
      <c r="A747" s="26"/>
      <c r="B747" s="23"/>
      <c r="C747" s="19"/>
      <c r="D747" s="23"/>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ht="56.25" customHeight="1">
      <c r="A748" s="26"/>
      <c r="B748" s="23"/>
      <c r="C748" s="19"/>
      <c r="D748" s="23"/>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ht="56.25" customHeight="1">
      <c r="A749" s="26"/>
      <c r="B749" s="23"/>
      <c r="C749" s="19"/>
      <c r="D749" s="23"/>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ht="56.25" customHeight="1">
      <c r="A750" s="26"/>
      <c r="B750" s="23"/>
      <c r="C750" s="19"/>
      <c r="D750" s="23"/>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ht="56.25" customHeight="1">
      <c r="A751" s="26"/>
      <c r="B751" s="23"/>
      <c r="C751" s="19"/>
      <c r="D751" s="23"/>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ht="56.25" customHeight="1">
      <c r="A752" s="26"/>
      <c r="B752" s="23"/>
      <c r="C752" s="19"/>
      <c r="D752" s="23"/>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ht="56.25" customHeight="1">
      <c r="A753" s="26"/>
      <c r="B753" s="23"/>
      <c r="C753" s="19"/>
      <c r="D753" s="23"/>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ht="56.25" customHeight="1">
      <c r="A754" s="26"/>
      <c r="B754" s="23"/>
      <c r="C754" s="19"/>
      <c r="D754" s="23"/>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ht="56.25" customHeight="1">
      <c r="A755" s="26"/>
      <c r="B755" s="23"/>
      <c r="C755" s="19"/>
      <c r="D755" s="23"/>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ht="56.25" customHeight="1">
      <c r="A756" s="26"/>
      <c r="B756" s="23"/>
      <c r="C756" s="19"/>
      <c r="D756" s="23"/>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ht="56.25" customHeight="1">
      <c r="A757" s="26"/>
      <c r="B757" s="23"/>
      <c r="C757" s="19"/>
      <c r="D757" s="23"/>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ht="56.25" customHeight="1">
      <c r="A758" s="26"/>
      <c r="B758" s="23"/>
      <c r="C758" s="19"/>
      <c r="D758" s="23"/>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ht="56.25" customHeight="1">
      <c r="A759" s="26"/>
      <c r="B759" s="23"/>
      <c r="C759" s="19"/>
      <c r="D759" s="23"/>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ht="56.25" customHeight="1">
      <c r="A760" s="26"/>
      <c r="B760" s="23"/>
      <c r="C760" s="19"/>
      <c r="D760" s="23"/>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ht="56.25" customHeight="1">
      <c r="A761" s="26"/>
      <c r="B761" s="23"/>
      <c r="C761" s="19"/>
      <c r="D761" s="23"/>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ht="56.25" customHeight="1">
      <c r="A762" s="26"/>
      <c r="B762" s="23"/>
      <c r="C762" s="19"/>
      <c r="D762" s="23"/>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ht="56.25" customHeight="1">
      <c r="A763" s="26"/>
      <c r="B763" s="23"/>
      <c r="C763" s="19"/>
      <c r="D763" s="23"/>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ht="56.25" customHeight="1">
      <c r="A764" s="26"/>
      <c r="B764" s="23"/>
      <c r="C764" s="19"/>
      <c r="D764" s="23"/>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ht="56.25" customHeight="1">
      <c r="A765" s="26"/>
      <c r="B765" s="23"/>
      <c r="C765" s="19"/>
      <c r="D765" s="23"/>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ht="56.25" customHeight="1">
      <c r="A766" s="26"/>
      <c r="B766" s="23"/>
      <c r="C766" s="19"/>
      <c r="D766" s="23"/>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ht="56.25" customHeight="1">
      <c r="A767" s="26"/>
      <c r="B767" s="23"/>
      <c r="C767" s="19"/>
      <c r="D767" s="23"/>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ht="56.25" customHeight="1">
      <c r="A768" s="26"/>
      <c r="B768" s="23"/>
      <c r="C768" s="19"/>
      <c r="D768" s="23"/>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ht="56.25" customHeight="1">
      <c r="A769" s="26"/>
      <c r="B769" s="23"/>
      <c r="C769" s="19"/>
      <c r="D769" s="23"/>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ht="56.25" customHeight="1">
      <c r="A770" s="26"/>
      <c r="B770" s="23"/>
      <c r="C770" s="19"/>
      <c r="D770" s="23"/>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ht="56.25" customHeight="1">
      <c r="A771" s="26"/>
      <c r="B771" s="23"/>
      <c r="C771" s="19"/>
      <c r="D771" s="23"/>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ht="56.25" customHeight="1">
      <c r="A772" s="26"/>
      <c r="B772" s="23"/>
      <c r="C772" s="19"/>
      <c r="D772" s="23"/>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ht="56.25" customHeight="1">
      <c r="A773" s="26"/>
      <c r="B773" s="23"/>
      <c r="C773" s="19"/>
      <c r="D773" s="23"/>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ht="56.25" customHeight="1">
      <c r="A774" s="26"/>
      <c r="B774" s="23"/>
      <c r="C774" s="19"/>
      <c r="D774" s="23"/>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ht="56.25" customHeight="1">
      <c r="A775" s="26"/>
      <c r="B775" s="23"/>
      <c r="C775" s="19"/>
      <c r="D775" s="23"/>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ht="56.25" customHeight="1">
      <c r="A776" s="26"/>
      <c r="B776" s="23"/>
      <c r="C776" s="19"/>
      <c r="D776" s="23"/>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ht="56.25" customHeight="1">
      <c r="A777" s="26"/>
      <c r="B777" s="23"/>
      <c r="C777" s="19"/>
      <c r="D777" s="23"/>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ht="56.25" customHeight="1">
      <c r="A778" s="26"/>
      <c r="B778" s="23"/>
      <c r="C778" s="19"/>
      <c r="D778" s="23"/>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ht="56.25" customHeight="1">
      <c r="A779" s="26"/>
      <c r="B779" s="23"/>
      <c r="C779" s="19"/>
      <c r="D779" s="23"/>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ht="56.25" customHeight="1">
      <c r="A780" s="26"/>
      <c r="B780" s="23"/>
      <c r="C780" s="19"/>
      <c r="D780" s="23"/>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ht="56.25" customHeight="1">
      <c r="A781" s="26"/>
      <c r="B781" s="23"/>
      <c r="C781" s="19"/>
      <c r="D781" s="23"/>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ht="56.25" customHeight="1">
      <c r="A782" s="26"/>
      <c r="B782" s="23"/>
      <c r="C782" s="19"/>
      <c r="D782" s="23"/>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ht="56.25" customHeight="1">
      <c r="A783" s="26"/>
      <c r="B783" s="23"/>
      <c r="C783" s="19"/>
      <c r="D783" s="23"/>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ht="56.25" customHeight="1">
      <c r="A784" s="26"/>
      <c r="B784" s="23"/>
      <c r="C784" s="19"/>
      <c r="D784" s="23"/>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ht="56.25" customHeight="1">
      <c r="A785" s="26"/>
      <c r="B785" s="23"/>
      <c r="C785" s="19"/>
      <c r="D785" s="23"/>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ht="56.25" customHeight="1">
      <c r="A786" s="26"/>
      <c r="B786" s="23"/>
      <c r="C786" s="19"/>
      <c r="D786" s="23"/>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ht="56.25" customHeight="1">
      <c r="A787" s="26"/>
      <c r="B787" s="23"/>
      <c r="C787" s="19"/>
      <c r="D787" s="23"/>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ht="56.25" customHeight="1">
      <c r="A788" s="26"/>
      <c r="B788" s="23"/>
      <c r="C788" s="19"/>
      <c r="D788" s="23"/>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ht="56.25" customHeight="1">
      <c r="A789" s="26"/>
      <c r="B789" s="23"/>
      <c r="C789" s="19"/>
      <c r="D789" s="23"/>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ht="56.25" customHeight="1">
      <c r="A790" s="26"/>
      <c r="B790" s="23"/>
      <c r="C790" s="19"/>
      <c r="D790" s="23"/>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ht="56.25" customHeight="1">
      <c r="A791" s="26"/>
      <c r="B791" s="23"/>
      <c r="C791" s="19"/>
      <c r="D791" s="23"/>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ht="56.25" customHeight="1">
      <c r="A792" s="26"/>
      <c r="B792" s="23"/>
      <c r="C792" s="19"/>
      <c r="D792" s="23"/>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ht="56.25" customHeight="1">
      <c r="A793" s="26"/>
      <c r="B793" s="23"/>
      <c r="C793" s="19"/>
      <c r="D793" s="23"/>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ht="56.25" customHeight="1">
      <c r="A794" s="26"/>
      <c r="B794" s="23"/>
      <c r="C794" s="19"/>
      <c r="D794" s="23"/>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ht="56.25" customHeight="1">
      <c r="A795" s="26"/>
      <c r="B795" s="23"/>
      <c r="C795" s="19"/>
      <c r="D795" s="23"/>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ht="56.25" customHeight="1">
      <c r="A796" s="26"/>
      <c r="B796" s="23"/>
      <c r="C796" s="19"/>
      <c r="D796" s="23"/>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ht="56.25" customHeight="1">
      <c r="A797" s="26"/>
      <c r="B797" s="23"/>
      <c r="C797" s="19"/>
      <c r="D797" s="23"/>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ht="56.25" customHeight="1">
      <c r="A798" s="26"/>
      <c r="B798" s="23"/>
      <c r="C798" s="19"/>
      <c r="D798" s="23"/>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ht="56.25" customHeight="1">
      <c r="A799" s="26"/>
      <c r="B799" s="23"/>
      <c r="C799" s="19"/>
      <c r="D799" s="23"/>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ht="56.25" customHeight="1">
      <c r="A800" s="26"/>
      <c r="B800" s="23"/>
      <c r="C800" s="19"/>
      <c r="D800" s="23"/>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ht="56.25" customHeight="1">
      <c r="A801" s="26"/>
      <c r="B801" s="23"/>
      <c r="C801" s="19"/>
      <c r="D801" s="23"/>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ht="56.25" customHeight="1">
      <c r="A802" s="26"/>
      <c r="B802" s="23"/>
      <c r="C802" s="19"/>
      <c r="D802" s="23"/>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ht="56.25" customHeight="1">
      <c r="A803" s="26"/>
      <c r="B803" s="23"/>
      <c r="C803" s="19"/>
      <c r="D803" s="23"/>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ht="56.25" customHeight="1">
      <c r="A804" s="26"/>
      <c r="B804" s="23"/>
      <c r="C804" s="19"/>
      <c r="D804" s="23"/>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ht="56.25" customHeight="1">
      <c r="A805" s="26"/>
      <c r="B805" s="23"/>
      <c r="C805" s="19"/>
      <c r="D805" s="23"/>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ht="56.25" customHeight="1">
      <c r="A806" s="26"/>
      <c r="B806" s="23"/>
      <c r="C806" s="19"/>
      <c r="D806" s="23"/>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ht="56.25" customHeight="1">
      <c r="A807" s="26"/>
      <c r="B807" s="23"/>
      <c r="C807" s="19"/>
      <c r="D807" s="23"/>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ht="56.25" customHeight="1">
      <c r="A808" s="26"/>
      <c r="B808" s="23"/>
      <c r="C808" s="19"/>
      <c r="D808" s="23"/>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ht="56.25" customHeight="1">
      <c r="A809" s="26"/>
      <c r="B809" s="23"/>
      <c r="C809" s="19"/>
      <c r="D809" s="23"/>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ht="56.25" customHeight="1">
      <c r="A810" s="26"/>
      <c r="B810" s="23"/>
      <c r="C810" s="19"/>
      <c r="D810" s="23"/>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ht="56.25" customHeight="1">
      <c r="A811" s="26"/>
      <c r="B811" s="23"/>
      <c r="C811" s="19"/>
      <c r="D811" s="23"/>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ht="56.25" customHeight="1">
      <c r="A812" s="26"/>
      <c r="B812" s="23"/>
      <c r="C812" s="19"/>
      <c r="D812" s="23"/>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ht="56.25" customHeight="1">
      <c r="A813" s="26"/>
      <c r="B813" s="23"/>
      <c r="C813" s="19"/>
      <c r="D813" s="23"/>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ht="56.25" customHeight="1">
      <c r="A814" s="26"/>
      <c r="B814" s="23"/>
      <c r="C814" s="19"/>
      <c r="D814" s="23"/>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ht="56.25" customHeight="1">
      <c r="A815" s="26"/>
      <c r="B815" s="23"/>
      <c r="C815" s="19"/>
      <c r="D815" s="23"/>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ht="56.25" customHeight="1">
      <c r="A816" s="26"/>
      <c r="B816" s="23"/>
      <c r="C816" s="19"/>
      <c r="D816" s="23"/>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ht="56.25" customHeight="1">
      <c r="A817" s="26"/>
      <c r="B817" s="23"/>
      <c r="C817" s="19"/>
      <c r="D817" s="23"/>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ht="56.25" customHeight="1">
      <c r="A818" s="26"/>
      <c r="B818" s="23"/>
      <c r="C818" s="19"/>
      <c r="D818" s="23"/>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ht="56.25" customHeight="1">
      <c r="A819" s="26"/>
      <c r="B819" s="23"/>
      <c r="C819" s="19"/>
      <c r="D819" s="23"/>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ht="56.25" customHeight="1">
      <c r="A820" s="26"/>
      <c r="B820" s="23"/>
      <c r="C820" s="19"/>
      <c r="D820" s="23"/>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ht="56.25" customHeight="1">
      <c r="A821" s="26"/>
      <c r="B821" s="23"/>
      <c r="C821" s="19"/>
      <c r="D821" s="23"/>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ht="56.25" customHeight="1">
      <c r="A822" s="26"/>
      <c r="B822" s="23"/>
      <c r="C822" s="19"/>
      <c r="D822" s="23"/>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ht="56.25" customHeight="1">
      <c r="A823" s="26"/>
      <c r="B823" s="23"/>
      <c r="C823" s="19"/>
      <c r="D823" s="23"/>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ht="56.25" customHeight="1">
      <c r="A824" s="26"/>
      <c r="B824" s="23"/>
      <c r="C824" s="19"/>
      <c r="D824" s="23"/>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ht="56.25" customHeight="1">
      <c r="A825" s="26"/>
      <c r="B825" s="23"/>
      <c r="C825" s="19"/>
      <c r="D825" s="23"/>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ht="56.25" customHeight="1">
      <c r="A826" s="26"/>
      <c r="B826" s="23"/>
      <c r="C826" s="19"/>
      <c r="D826" s="23"/>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ht="56.25" customHeight="1">
      <c r="A827" s="26"/>
      <c r="B827" s="23"/>
      <c r="C827" s="19"/>
      <c r="D827" s="23"/>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ht="56.25" customHeight="1">
      <c r="A828" s="26"/>
      <c r="B828" s="23"/>
      <c r="C828" s="19"/>
      <c r="D828" s="23"/>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ht="56.25" customHeight="1">
      <c r="A829" s="26"/>
      <c r="B829" s="23"/>
      <c r="C829" s="19"/>
      <c r="D829" s="23"/>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ht="56.25" customHeight="1">
      <c r="A830" s="26"/>
      <c r="B830" s="23"/>
      <c r="C830" s="19"/>
      <c r="D830" s="23"/>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ht="56.25" customHeight="1">
      <c r="A831" s="26"/>
      <c r="B831" s="23"/>
      <c r="C831" s="19"/>
      <c r="D831" s="23"/>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ht="56.25" customHeight="1">
      <c r="A832" s="26"/>
      <c r="B832" s="23"/>
      <c r="C832" s="19"/>
      <c r="D832" s="23"/>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ht="56.25" customHeight="1">
      <c r="A833" s="26"/>
      <c r="B833" s="23"/>
      <c r="C833" s="19"/>
      <c r="D833" s="23"/>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ht="56.25" customHeight="1">
      <c r="A834" s="26"/>
      <c r="B834" s="23"/>
      <c r="C834" s="19"/>
      <c r="D834" s="23"/>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ht="56.25" customHeight="1">
      <c r="A835" s="26"/>
      <c r="B835" s="23"/>
      <c r="C835" s="19"/>
      <c r="D835" s="23"/>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ht="56.25" customHeight="1">
      <c r="A836" s="26"/>
      <c r="B836" s="23"/>
      <c r="C836" s="19"/>
      <c r="D836" s="23"/>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ht="56.25" customHeight="1">
      <c r="A837" s="26"/>
      <c r="B837" s="23"/>
      <c r="C837" s="19"/>
      <c r="D837" s="23"/>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ht="56.25" customHeight="1">
      <c r="A838" s="26"/>
      <c r="B838" s="23"/>
      <c r="C838" s="19"/>
      <c r="D838" s="23"/>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ht="56.25" customHeight="1">
      <c r="A839" s="26"/>
      <c r="B839" s="23"/>
      <c r="C839" s="19"/>
      <c r="D839" s="23"/>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ht="56.25" customHeight="1">
      <c r="A840" s="26"/>
      <c r="B840" s="23"/>
      <c r="C840" s="19"/>
      <c r="D840" s="23"/>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ht="56.25" customHeight="1">
      <c r="A841" s="26"/>
      <c r="B841" s="23"/>
      <c r="C841" s="19"/>
      <c r="D841" s="23"/>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ht="56.25" customHeight="1">
      <c r="A842" s="26"/>
      <c r="B842" s="23"/>
      <c r="C842" s="19"/>
      <c r="D842" s="23"/>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ht="56.25" customHeight="1">
      <c r="A843" s="26"/>
      <c r="B843" s="23"/>
      <c r="C843" s="19"/>
      <c r="D843" s="23"/>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ht="56.25" customHeight="1">
      <c r="A844" s="26"/>
      <c r="B844" s="23"/>
      <c r="C844" s="19"/>
      <c r="D844" s="23"/>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ht="56.25" customHeight="1">
      <c r="A845" s="26"/>
      <c r="B845" s="23"/>
      <c r="C845" s="19"/>
      <c r="D845" s="23"/>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ht="56.25" customHeight="1">
      <c r="A846" s="26"/>
      <c r="B846" s="23"/>
      <c r="C846" s="19"/>
      <c r="D846" s="23"/>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ht="56.25" customHeight="1">
      <c r="A847" s="26"/>
      <c r="B847" s="23"/>
      <c r="C847" s="19"/>
      <c r="D847" s="23"/>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ht="56.25" customHeight="1">
      <c r="A848" s="26"/>
      <c r="B848" s="23"/>
      <c r="C848" s="19"/>
      <c r="D848" s="23"/>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ht="56.25" customHeight="1">
      <c r="A849" s="26"/>
      <c r="B849" s="23"/>
      <c r="C849" s="19"/>
      <c r="D849" s="23"/>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ht="56.25" customHeight="1">
      <c r="A850" s="26"/>
      <c r="B850" s="23"/>
      <c r="C850" s="19"/>
      <c r="D850" s="23"/>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ht="56.25" customHeight="1">
      <c r="A851" s="26"/>
      <c r="B851" s="23"/>
      <c r="C851" s="19"/>
      <c r="D851" s="23"/>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ht="56.25" customHeight="1">
      <c r="A852" s="26"/>
      <c r="B852" s="23"/>
      <c r="C852" s="19"/>
      <c r="D852" s="23"/>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ht="56.25" customHeight="1">
      <c r="A853" s="26"/>
      <c r="B853" s="23"/>
      <c r="C853" s="19"/>
      <c r="D853" s="23"/>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ht="56.25" customHeight="1">
      <c r="A854" s="26"/>
      <c r="B854" s="23"/>
      <c r="C854" s="19"/>
      <c r="D854" s="23"/>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ht="56.25" customHeight="1">
      <c r="A855" s="26"/>
      <c r="B855" s="23"/>
      <c r="C855" s="19"/>
      <c r="D855" s="23"/>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ht="56.25" customHeight="1">
      <c r="A856" s="26"/>
      <c r="B856" s="23"/>
      <c r="C856" s="19"/>
      <c r="D856" s="23"/>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ht="56.25" customHeight="1">
      <c r="A857" s="26"/>
      <c r="B857" s="23"/>
      <c r="C857" s="19"/>
      <c r="D857" s="23"/>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ht="56.25" customHeight="1">
      <c r="A858" s="26"/>
      <c r="B858" s="23"/>
      <c r="C858" s="19"/>
      <c r="D858" s="23"/>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ht="56.25" customHeight="1">
      <c r="A859" s="26"/>
      <c r="B859" s="23"/>
      <c r="C859" s="19"/>
      <c r="D859" s="23"/>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ht="56.25" customHeight="1">
      <c r="A860" s="26"/>
      <c r="B860" s="23"/>
      <c r="C860" s="19"/>
      <c r="D860" s="23"/>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ht="56.25" customHeight="1">
      <c r="A861" s="26"/>
      <c r="B861" s="23"/>
      <c r="C861" s="19"/>
      <c r="D861" s="23"/>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ht="56.25" customHeight="1">
      <c r="A862" s="26"/>
      <c r="B862" s="23"/>
      <c r="C862" s="19"/>
      <c r="D862" s="23"/>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ht="56.25" customHeight="1">
      <c r="A863" s="26"/>
      <c r="B863" s="23"/>
      <c r="C863" s="19"/>
      <c r="D863" s="23"/>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ht="56.25" customHeight="1">
      <c r="A864" s="26"/>
      <c r="B864" s="23"/>
      <c r="C864" s="19"/>
      <c r="D864" s="23"/>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ht="56.25" customHeight="1">
      <c r="A865" s="26"/>
      <c r="B865" s="23"/>
      <c r="C865" s="19"/>
      <c r="D865" s="23"/>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ht="56.25" customHeight="1">
      <c r="A866" s="26"/>
      <c r="B866" s="23"/>
      <c r="C866" s="19"/>
      <c r="D866" s="23"/>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ht="56.25" customHeight="1">
      <c r="A867" s="26"/>
      <c r="B867" s="23"/>
      <c r="C867" s="19"/>
      <c r="D867" s="23"/>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ht="56.25" customHeight="1">
      <c r="A868" s="26"/>
      <c r="B868" s="23"/>
      <c r="C868" s="19"/>
      <c r="D868" s="23"/>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ht="56.25" customHeight="1">
      <c r="A869" s="26"/>
      <c r="B869" s="23"/>
      <c r="C869" s="19"/>
      <c r="D869" s="23"/>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ht="56.25" customHeight="1">
      <c r="A870" s="26"/>
      <c r="B870" s="23"/>
      <c r="C870" s="19"/>
      <c r="D870" s="23"/>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ht="56.25" customHeight="1">
      <c r="A871" s="26"/>
      <c r="B871" s="23"/>
      <c r="C871" s="19"/>
      <c r="D871" s="23"/>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ht="56.25" customHeight="1">
      <c r="A872" s="26"/>
      <c r="B872" s="23"/>
      <c r="C872" s="19"/>
      <c r="D872" s="23"/>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ht="56.25" customHeight="1">
      <c r="A873" s="26"/>
      <c r="B873" s="23"/>
      <c r="C873" s="19"/>
      <c r="D873" s="23"/>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ht="56.25" customHeight="1">
      <c r="A874" s="26"/>
      <c r="B874" s="23"/>
      <c r="C874" s="19"/>
      <c r="D874" s="23"/>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ht="56.25" customHeight="1">
      <c r="A875" s="26"/>
      <c r="B875" s="23"/>
      <c r="C875" s="19"/>
      <c r="D875" s="23"/>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ht="56.25" customHeight="1">
      <c r="A876" s="26"/>
      <c r="B876" s="23"/>
      <c r="C876" s="19"/>
      <c r="D876" s="23"/>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ht="56.25" customHeight="1">
      <c r="A877" s="26"/>
      <c r="B877" s="23"/>
      <c r="C877" s="19"/>
      <c r="D877" s="23"/>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ht="56.25" customHeight="1">
      <c r="A878" s="26"/>
      <c r="B878" s="23"/>
      <c r="C878" s="19"/>
      <c r="D878" s="23"/>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ht="56.25" customHeight="1">
      <c r="A879" s="26"/>
      <c r="B879" s="23"/>
      <c r="C879" s="19"/>
      <c r="D879" s="23"/>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ht="56.25" customHeight="1">
      <c r="A880" s="26"/>
      <c r="B880" s="23"/>
      <c r="C880" s="19"/>
      <c r="D880" s="23"/>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ht="56.25" customHeight="1">
      <c r="A881" s="26"/>
      <c r="B881" s="23"/>
      <c r="C881" s="19"/>
      <c r="D881" s="23"/>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ht="56.25" customHeight="1">
      <c r="A882" s="26"/>
      <c r="B882" s="23"/>
      <c r="C882" s="19"/>
      <c r="D882" s="23"/>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ht="56.25" customHeight="1">
      <c r="A883" s="26"/>
      <c r="B883" s="23"/>
      <c r="C883" s="19"/>
      <c r="D883" s="23"/>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ht="56.25" customHeight="1">
      <c r="A884" s="26"/>
      <c r="B884" s="23"/>
      <c r="C884" s="19"/>
      <c r="D884" s="23"/>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ht="56.25" customHeight="1">
      <c r="A885" s="26"/>
      <c r="B885" s="23"/>
      <c r="C885" s="19"/>
      <c r="D885" s="23"/>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ht="56.25" customHeight="1">
      <c r="A886" s="26"/>
      <c r="B886" s="23"/>
      <c r="C886" s="19"/>
      <c r="D886" s="23"/>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ht="56.25" customHeight="1">
      <c r="A887" s="26"/>
      <c r="B887" s="23"/>
      <c r="C887" s="19"/>
      <c r="D887" s="23"/>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ht="56.25" customHeight="1">
      <c r="A888" s="26"/>
      <c r="B888" s="23"/>
      <c r="C888" s="19"/>
      <c r="D888" s="23"/>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ht="56.25" customHeight="1">
      <c r="A889" s="26"/>
      <c r="B889" s="23"/>
      <c r="C889" s="19"/>
      <c r="D889" s="23"/>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ht="56.25" customHeight="1">
      <c r="A890" s="26"/>
      <c r="B890" s="23"/>
      <c r="C890" s="19"/>
      <c r="D890" s="23"/>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ht="56.25" customHeight="1">
      <c r="A891" s="26"/>
      <c r="B891" s="23"/>
      <c r="C891" s="19"/>
      <c r="D891" s="23"/>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ht="56.25" customHeight="1">
      <c r="A892" s="26"/>
      <c r="B892" s="23"/>
      <c r="C892" s="19"/>
      <c r="D892" s="23"/>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ht="56.25" customHeight="1">
      <c r="A893" s="26"/>
      <c r="B893" s="23"/>
      <c r="C893" s="19"/>
      <c r="D893" s="23"/>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ht="56.25" customHeight="1">
      <c r="A894" s="26"/>
      <c r="B894" s="23"/>
      <c r="C894" s="19"/>
      <c r="D894" s="23"/>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ht="56.25" customHeight="1">
      <c r="A895" s="26"/>
      <c r="B895" s="23"/>
      <c r="C895" s="19"/>
      <c r="D895" s="23"/>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ht="56.25" customHeight="1">
      <c r="A896" s="26"/>
      <c r="B896" s="23"/>
      <c r="C896" s="19"/>
      <c r="D896" s="23"/>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ht="56.25" customHeight="1">
      <c r="A897" s="26"/>
      <c r="B897" s="23"/>
      <c r="C897" s="19"/>
      <c r="D897" s="23"/>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ht="56.25" customHeight="1">
      <c r="A898" s="26"/>
      <c r="B898" s="23"/>
      <c r="C898" s="19"/>
      <c r="D898" s="23"/>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ht="56.25" customHeight="1">
      <c r="A899" s="26"/>
      <c r="B899" s="23"/>
      <c r="C899" s="19"/>
      <c r="D899" s="23"/>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ht="56.25" customHeight="1">
      <c r="A900" s="26"/>
      <c r="B900" s="23"/>
      <c r="C900" s="19"/>
      <c r="D900" s="23"/>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ht="56.25" customHeight="1">
      <c r="A901" s="26"/>
      <c r="B901" s="23"/>
      <c r="C901" s="19"/>
      <c r="D901" s="23"/>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ht="56.25" customHeight="1">
      <c r="A902" s="26"/>
      <c r="B902" s="23"/>
      <c r="C902" s="19"/>
      <c r="D902" s="23"/>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ht="56.25" customHeight="1">
      <c r="A903" s="26"/>
      <c r="B903" s="23"/>
      <c r="C903" s="19"/>
      <c r="D903" s="23"/>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ht="56.25" customHeight="1">
      <c r="A904" s="26"/>
      <c r="B904" s="23"/>
      <c r="C904" s="19"/>
      <c r="D904" s="23"/>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ht="56.25" customHeight="1">
      <c r="A905" s="26"/>
      <c r="B905" s="23"/>
      <c r="C905" s="19"/>
      <c r="D905" s="23"/>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ht="56.25" customHeight="1">
      <c r="A906" s="26"/>
      <c r="B906" s="23"/>
      <c r="C906" s="19"/>
      <c r="D906" s="23"/>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ht="56.25" customHeight="1">
      <c r="A907" s="26"/>
      <c r="B907" s="23"/>
      <c r="C907" s="19"/>
      <c r="D907" s="23"/>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ht="56.25" customHeight="1">
      <c r="A908" s="26"/>
      <c r="B908" s="23"/>
      <c r="C908" s="19"/>
      <c r="D908" s="23"/>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ht="56.25" customHeight="1">
      <c r="A909" s="26"/>
      <c r="B909" s="23"/>
      <c r="C909" s="19"/>
      <c r="D909" s="23"/>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ht="56.25" customHeight="1">
      <c r="A910" s="26"/>
      <c r="B910" s="23"/>
      <c r="C910" s="19"/>
      <c r="D910" s="23"/>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ht="56.25" customHeight="1">
      <c r="A911" s="26"/>
      <c r="B911" s="23"/>
      <c r="C911" s="19"/>
      <c r="D911" s="23"/>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ht="56.25" customHeight="1">
      <c r="A912" s="26"/>
      <c r="B912" s="23"/>
      <c r="C912" s="19"/>
      <c r="D912" s="23"/>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ht="56.25" customHeight="1">
      <c r="A913" s="26"/>
      <c r="B913" s="23"/>
      <c r="C913" s="19"/>
      <c r="D913" s="23"/>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ht="56.25" customHeight="1">
      <c r="A914" s="26"/>
      <c r="B914" s="23"/>
      <c r="C914" s="19"/>
      <c r="D914" s="23"/>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ht="56.25" customHeight="1">
      <c r="A915" s="26"/>
      <c r="B915" s="23"/>
      <c r="C915" s="19"/>
      <c r="D915" s="23"/>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ht="56.25" customHeight="1">
      <c r="A916" s="26"/>
      <c r="B916" s="23"/>
      <c r="C916" s="19"/>
      <c r="D916" s="23"/>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ht="56.25" customHeight="1">
      <c r="A917" s="26"/>
      <c r="B917" s="23"/>
      <c r="C917" s="19"/>
      <c r="D917" s="23"/>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ht="56.25" customHeight="1">
      <c r="A918" s="26"/>
      <c r="B918" s="23"/>
      <c r="C918" s="19"/>
      <c r="D918" s="23"/>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ht="56.25" customHeight="1">
      <c r="A919" s="26"/>
      <c r="B919" s="23"/>
      <c r="C919" s="19"/>
      <c r="D919" s="23"/>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ht="56.25" customHeight="1">
      <c r="A920" s="26"/>
      <c r="B920" s="23"/>
      <c r="C920" s="19"/>
      <c r="D920" s="23"/>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ht="56.25" customHeight="1">
      <c r="A921" s="26"/>
      <c r="B921" s="23"/>
      <c r="C921" s="19"/>
      <c r="D921" s="23"/>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ht="56.25" customHeight="1">
      <c r="A922" s="26"/>
      <c r="B922" s="23"/>
      <c r="C922" s="19"/>
      <c r="D922" s="23"/>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ht="56.25" customHeight="1">
      <c r="A923" s="26"/>
      <c r="B923" s="23"/>
      <c r="C923" s="19"/>
      <c r="D923" s="23"/>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ht="56.25" customHeight="1">
      <c r="A924" s="26"/>
      <c r="B924" s="23"/>
      <c r="C924" s="19"/>
      <c r="D924" s="23"/>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ht="56.25" customHeight="1">
      <c r="A925" s="26"/>
      <c r="B925" s="23"/>
      <c r="C925" s="19"/>
      <c r="D925" s="23"/>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ht="56.25" customHeight="1">
      <c r="A926" s="26"/>
      <c r="B926" s="23"/>
      <c r="C926" s="19"/>
      <c r="D926" s="23"/>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ht="56.25" customHeight="1">
      <c r="A927" s="26"/>
      <c r="B927" s="23"/>
      <c r="C927" s="19"/>
      <c r="D927" s="23"/>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ht="56.25" customHeight="1">
      <c r="A928" s="26"/>
      <c r="B928" s="23"/>
      <c r="C928" s="19"/>
      <c r="D928" s="23"/>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ht="56.25" customHeight="1">
      <c r="A929" s="26"/>
      <c r="B929" s="23"/>
      <c r="C929" s="19"/>
      <c r="D929" s="23"/>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ht="56.25" customHeight="1">
      <c r="A930" s="26"/>
      <c r="B930" s="23"/>
      <c r="C930" s="19"/>
      <c r="D930" s="23"/>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ht="56.25" customHeight="1">
      <c r="A931" s="26"/>
      <c r="B931" s="23"/>
      <c r="C931" s="19"/>
      <c r="D931" s="23"/>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ht="56.25" customHeight="1">
      <c r="A932" s="26"/>
      <c r="B932" s="23"/>
      <c r="C932" s="19"/>
      <c r="D932" s="23"/>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ht="56.25" customHeight="1">
      <c r="A933" s="26"/>
      <c r="B933" s="23"/>
      <c r="C933" s="19"/>
      <c r="D933" s="23"/>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ht="56.25" customHeight="1">
      <c r="A934" s="26"/>
      <c r="B934" s="23"/>
      <c r="C934" s="19"/>
      <c r="D934" s="23"/>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ht="56.25" customHeight="1">
      <c r="A935" s="26"/>
      <c r="B935" s="23"/>
      <c r="C935" s="19"/>
      <c r="D935" s="23"/>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ht="56.25" customHeight="1">
      <c r="A936" s="26"/>
      <c r="B936" s="23"/>
      <c r="C936" s="19"/>
      <c r="D936" s="23"/>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ht="56.25" customHeight="1">
      <c r="A937" s="26"/>
      <c r="B937" s="23"/>
      <c r="C937" s="19"/>
      <c r="D937" s="23"/>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ht="56.25" customHeight="1">
      <c r="A938" s="26"/>
      <c r="B938" s="23"/>
      <c r="C938" s="19"/>
      <c r="D938" s="23"/>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ht="56.25" customHeight="1">
      <c r="A939" s="26"/>
      <c r="B939" s="23"/>
      <c r="C939" s="19"/>
      <c r="D939" s="23"/>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ht="56.25" customHeight="1">
      <c r="A940" s="26"/>
      <c r="B940" s="23"/>
      <c r="C940" s="19"/>
      <c r="D940" s="23"/>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ht="56.25" customHeight="1">
      <c r="A941" s="26"/>
      <c r="B941" s="23"/>
      <c r="C941" s="19"/>
      <c r="D941" s="23"/>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ht="56.25" customHeight="1">
      <c r="A942" s="26"/>
      <c r="B942" s="23"/>
      <c r="C942" s="19"/>
      <c r="D942" s="23"/>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ht="56.25" customHeight="1">
      <c r="A943" s="26"/>
      <c r="B943" s="23"/>
      <c r="C943" s="19"/>
      <c r="D943" s="23"/>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ht="56.25" customHeight="1">
      <c r="A944" s="26"/>
      <c r="B944" s="23"/>
      <c r="C944" s="19"/>
      <c r="D944" s="23"/>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ht="56.25" customHeight="1">
      <c r="A945" s="26"/>
      <c r="B945" s="23"/>
      <c r="C945" s="19"/>
      <c r="D945" s="23"/>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ht="56.25" customHeight="1">
      <c r="A946" s="26"/>
      <c r="B946" s="23"/>
      <c r="C946" s="19"/>
      <c r="D946" s="23"/>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ht="56.25" customHeight="1">
      <c r="A947" s="26"/>
      <c r="B947" s="23"/>
      <c r="C947" s="19"/>
      <c r="D947" s="23"/>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ht="56.25" customHeight="1">
      <c r="A948" s="26"/>
      <c r="B948" s="23"/>
      <c r="C948" s="19"/>
      <c r="D948" s="23"/>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ht="56.25" customHeight="1">
      <c r="A949" s="26"/>
      <c r="B949" s="23"/>
      <c r="C949" s="19"/>
      <c r="D949" s="23"/>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ht="56.25" customHeight="1">
      <c r="A950" s="26"/>
      <c r="B950" s="23"/>
      <c r="C950" s="19"/>
      <c r="D950" s="23"/>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ht="56.25" customHeight="1">
      <c r="A951" s="26"/>
      <c r="B951" s="23"/>
      <c r="C951" s="19"/>
      <c r="D951" s="23"/>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ht="56.25" customHeight="1">
      <c r="A952" s="26"/>
      <c r="B952" s="23"/>
      <c r="C952" s="19"/>
      <c r="D952" s="23"/>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ht="56.25" customHeight="1">
      <c r="A953" s="26"/>
      <c r="B953" s="23"/>
      <c r="C953" s="19"/>
      <c r="D953" s="23"/>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ht="56.25" customHeight="1">
      <c r="A954" s="26"/>
      <c r="B954" s="23"/>
      <c r="C954" s="19"/>
      <c r="D954" s="23"/>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ht="56.25" customHeight="1">
      <c r="A955" s="26"/>
      <c r="B955" s="23"/>
      <c r="C955" s="19"/>
      <c r="D955" s="23"/>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ht="56.25" customHeight="1">
      <c r="A956" s="26"/>
      <c r="B956" s="23"/>
      <c r="C956" s="19"/>
      <c r="D956" s="23"/>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ht="56.25" customHeight="1">
      <c r="A957" s="26"/>
      <c r="B957" s="23"/>
      <c r="C957" s="19"/>
      <c r="D957" s="23"/>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ht="56.25" customHeight="1">
      <c r="A958" s="26"/>
      <c r="B958" s="23"/>
      <c r="C958" s="19"/>
      <c r="D958" s="23"/>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ht="56.25" customHeight="1">
      <c r="A959" s="26"/>
      <c r="B959" s="23"/>
      <c r="C959" s="19"/>
      <c r="D959" s="23"/>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ht="56.25" customHeight="1">
      <c r="A960" s="26"/>
      <c r="B960" s="23"/>
      <c r="C960" s="19"/>
      <c r="D960" s="23"/>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ht="56.25" customHeight="1">
      <c r="A961" s="26"/>
      <c r="B961" s="23"/>
      <c r="C961" s="19"/>
      <c r="D961" s="23"/>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ht="56.25" customHeight="1">
      <c r="A962" s="26"/>
      <c r="B962" s="23"/>
      <c r="C962" s="19"/>
      <c r="D962" s="23"/>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ht="56.25" customHeight="1">
      <c r="A963" s="26"/>
      <c r="B963" s="23"/>
      <c r="C963" s="19"/>
      <c r="D963" s="23"/>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ht="56.25" customHeight="1">
      <c r="A964" s="26"/>
      <c r="B964" s="23"/>
      <c r="C964" s="19"/>
      <c r="D964" s="23"/>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ht="56.25" customHeight="1">
      <c r="A965" s="26"/>
      <c r="B965" s="23"/>
      <c r="C965" s="19"/>
      <c r="D965" s="23"/>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ht="56.25" customHeight="1">
      <c r="A966" s="26"/>
      <c r="B966" s="23"/>
      <c r="C966" s="19"/>
      <c r="D966" s="23"/>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ht="56.25" customHeight="1">
      <c r="A967" s="26"/>
      <c r="B967" s="23"/>
      <c r="C967" s="19"/>
      <c r="D967" s="23"/>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ht="56.25" customHeight="1">
      <c r="A968" s="26"/>
      <c r="B968" s="23"/>
      <c r="C968" s="19"/>
      <c r="D968" s="23"/>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ht="56.25" customHeight="1">
      <c r="A969" s="26"/>
      <c r="B969" s="23"/>
      <c r="C969" s="19"/>
      <c r="D969" s="23"/>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ht="56.25" customHeight="1">
      <c r="A970" s="26"/>
      <c r="B970" s="23"/>
      <c r="C970" s="19"/>
      <c r="D970" s="23"/>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ht="56.25" customHeight="1">
      <c r="A971" s="26"/>
      <c r="B971" s="23"/>
      <c r="C971" s="19"/>
      <c r="D971" s="23"/>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ht="56.25" customHeight="1">
      <c r="A972" s="26"/>
      <c r="B972" s="23"/>
      <c r="C972" s="19"/>
      <c r="D972" s="23"/>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ht="56.25" customHeight="1">
      <c r="A973" s="26"/>
      <c r="B973" s="23"/>
      <c r="C973" s="19"/>
      <c r="D973" s="23"/>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ht="56.25" customHeight="1">
      <c r="A974" s="26"/>
      <c r="B974" s="23"/>
      <c r="C974" s="19"/>
      <c r="D974" s="23"/>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ht="56.25" customHeight="1">
      <c r="A975" s="26"/>
      <c r="B975" s="23"/>
      <c r="C975" s="19"/>
      <c r="D975" s="23"/>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ht="56.25" customHeight="1">
      <c r="A976" s="26"/>
      <c r="B976" s="23"/>
      <c r="C976" s="19"/>
      <c r="D976" s="23"/>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ht="56.25" customHeight="1">
      <c r="A977" s="26"/>
      <c r="B977" s="23"/>
      <c r="C977" s="19"/>
      <c r="D977" s="23"/>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ht="56.25" customHeight="1">
      <c r="A978" s="26"/>
      <c r="B978" s="23"/>
      <c r="C978" s="19"/>
      <c r="D978" s="23"/>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ht="56.25" customHeight="1">
      <c r="A979" s="26"/>
      <c r="B979" s="23"/>
      <c r="C979" s="19"/>
      <c r="D979" s="23"/>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ht="56.25" customHeight="1">
      <c r="A980" s="26"/>
      <c r="B980" s="23"/>
      <c r="C980" s="19"/>
      <c r="D980" s="23"/>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ht="56.25" customHeight="1">
      <c r="A981" s="26"/>
      <c r="B981" s="23"/>
      <c r="C981" s="19"/>
      <c r="D981" s="23"/>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ht="56.25" customHeight="1">
      <c r="A982" s="26"/>
      <c r="B982" s="23"/>
      <c r="C982" s="19"/>
      <c r="D982" s="23"/>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ht="56.25" customHeight="1">
      <c r="A983" s="26"/>
      <c r="B983" s="23"/>
      <c r="C983" s="19"/>
      <c r="D983" s="23"/>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ht="56.25" customHeight="1">
      <c r="A984" s="26"/>
      <c r="B984" s="23"/>
      <c r="C984" s="19"/>
      <c r="D984" s="23"/>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ht="56.25" customHeight="1">
      <c r="A985" s="26"/>
      <c r="B985" s="23"/>
      <c r="C985" s="19"/>
      <c r="D985" s="23"/>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ht="56.25" customHeight="1">
      <c r="A986" s="26"/>
      <c r="B986" s="23"/>
      <c r="C986" s="19"/>
      <c r="D986" s="23"/>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ht="56.25" customHeight="1">
      <c r="A987" s="26"/>
      <c r="B987" s="23"/>
      <c r="C987" s="19"/>
      <c r="D987" s="23"/>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ht="56.25" customHeight="1">
      <c r="A988" s="26"/>
      <c r="B988" s="23"/>
      <c r="C988" s="19"/>
      <c r="D988" s="23"/>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ht="56.25" customHeight="1">
      <c r="A989" s="26"/>
      <c r="B989" s="23"/>
      <c r="C989" s="19"/>
      <c r="D989" s="23"/>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ht="56.25" customHeight="1">
      <c r="A990" s="26"/>
      <c r="B990" s="23"/>
      <c r="C990" s="19"/>
      <c r="D990" s="23"/>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ht="56.25" customHeight="1">
      <c r="A991" s="26"/>
      <c r="B991" s="23"/>
      <c r="C991" s="19"/>
      <c r="D991" s="23"/>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ht="56.25" customHeight="1">
      <c r="A992" s="26"/>
      <c r="B992" s="23"/>
      <c r="C992" s="19"/>
      <c r="D992" s="23"/>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ht="56.25" customHeight="1">
      <c r="A993" s="26"/>
      <c r="B993" s="23"/>
      <c r="C993" s="19"/>
      <c r="D993" s="23"/>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ht="56.25" customHeight="1">
      <c r="A994" s="26"/>
      <c r="B994" s="23"/>
      <c r="C994" s="19"/>
      <c r="D994" s="23"/>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ht="56.25" customHeight="1">
      <c r="A995" s="26"/>
      <c r="B995" s="23"/>
      <c r="C995" s="19"/>
      <c r="D995" s="23"/>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ht="56.25" customHeight="1">
      <c r="A996" s="26"/>
      <c r="B996" s="23"/>
      <c r="C996" s="19"/>
      <c r="D996" s="23"/>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ht="56.25" customHeight="1">
      <c r="A997" s="26"/>
      <c r="B997" s="23"/>
      <c r="C997" s="19"/>
      <c r="D997" s="23"/>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ht="56.25" customHeight="1">
      <c r="A998" s="26"/>
      <c r="B998" s="23"/>
      <c r="C998" s="19"/>
      <c r="D998" s="23"/>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ht="56.25" customHeight="1">
      <c r="A999" s="26"/>
      <c r="B999" s="23"/>
      <c r="C999" s="19"/>
      <c r="D999" s="23"/>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row r="1000" ht="56.25" customHeight="1">
      <c r="A1000" s="26"/>
      <c r="B1000" s="23"/>
      <c r="C1000" s="19"/>
      <c r="D1000" s="23"/>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row r="1001" ht="56.25" customHeight="1">
      <c r="A1001" s="26"/>
      <c r="B1001" s="23"/>
      <c r="C1001" s="19"/>
      <c r="D1001" s="23"/>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row>
    <row r="1002" ht="56.25" customHeight="1">
      <c r="A1002" s="26"/>
      <c r="B1002" s="23"/>
      <c r="C1002" s="19"/>
      <c r="D1002" s="23"/>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row>
    <row r="1003" ht="56.25" customHeight="1">
      <c r="A1003" s="26"/>
      <c r="B1003" s="23"/>
      <c r="C1003" s="19"/>
      <c r="D1003" s="23"/>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row>
    <row r="1004" ht="56.25" customHeight="1">
      <c r="A1004" s="26"/>
      <c r="B1004" s="23"/>
      <c r="C1004" s="19"/>
      <c r="D1004" s="23"/>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row>
    <row r="1005" ht="56.25" customHeight="1">
      <c r="A1005" s="26"/>
      <c r="B1005" s="23"/>
      <c r="C1005" s="19"/>
      <c r="D1005" s="23"/>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row>
    <row r="1006" ht="56.25" customHeight="1">
      <c r="A1006" s="26"/>
      <c r="B1006" s="23"/>
      <c r="C1006" s="19"/>
      <c r="D1006" s="23"/>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row>
    <row r="1007" ht="56.25" customHeight="1">
      <c r="A1007" s="26"/>
      <c r="B1007" s="23"/>
      <c r="C1007" s="19"/>
      <c r="D1007" s="23"/>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row>
    <row r="1008" ht="56.25" customHeight="1">
      <c r="A1008" s="26"/>
      <c r="B1008" s="23"/>
      <c r="C1008" s="19"/>
      <c r="D1008" s="23"/>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row>
    <row r="1009" ht="56.25" customHeight="1">
      <c r="A1009" s="26"/>
      <c r="B1009" s="23"/>
      <c r="C1009" s="19"/>
      <c r="D1009" s="23"/>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row>
    <row r="1010" ht="56.25" customHeight="1">
      <c r="A1010" s="26"/>
      <c r="B1010" s="23"/>
      <c r="C1010" s="19"/>
      <c r="D1010" s="23"/>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row>
    <row r="1011" ht="56.25" customHeight="1">
      <c r="A1011" s="26"/>
      <c r="B1011" s="23"/>
      <c r="C1011" s="19"/>
      <c r="D1011" s="23"/>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row>
    <row r="1012" ht="56.25" customHeight="1">
      <c r="A1012" s="26"/>
      <c r="B1012" s="23"/>
      <c r="C1012" s="19"/>
      <c r="D1012" s="23"/>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row>
    <row r="1013" ht="56.25" customHeight="1">
      <c r="A1013" s="26"/>
      <c r="B1013" s="23"/>
      <c r="C1013" s="19"/>
      <c r="D1013" s="23"/>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row>
    <row r="1014" ht="56.25" customHeight="1">
      <c r="A1014" s="26"/>
      <c r="B1014" s="23"/>
      <c r="C1014" s="19"/>
      <c r="D1014" s="23"/>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row>
    <row r="1015" ht="56.25" customHeight="1">
      <c r="A1015" s="26"/>
      <c r="B1015" s="23"/>
      <c r="C1015" s="19"/>
      <c r="D1015" s="23"/>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row>
    <row r="1016" ht="56.25" customHeight="1">
      <c r="A1016" s="26"/>
      <c r="B1016" s="23"/>
      <c r="C1016" s="19"/>
      <c r="D1016" s="23"/>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row>
    <row r="1017" ht="56.25" customHeight="1">
      <c r="A1017" s="26"/>
      <c r="B1017" s="23"/>
      <c r="C1017" s="19"/>
      <c r="D1017" s="23"/>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row>
    <row r="1018" ht="56.25" customHeight="1">
      <c r="A1018" s="26"/>
      <c r="B1018" s="23"/>
      <c r="C1018" s="19"/>
      <c r="D1018" s="23"/>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row>
    <row r="1019" ht="56.25" customHeight="1">
      <c r="A1019" s="26"/>
      <c r="B1019" s="23"/>
      <c r="C1019" s="19"/>
      <c r="D1019" s="23"/>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row>
    <row r="1020" ht="56.25" customHeight="1">
      <c r="A1020" s="26"/>
      <c r="B1020" s="23"/>
      <c r="C1020" s="19"/>
      <c r="D1020" s="23"/>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row>
    <row r="1021" ht="56.25" customHeight="1">
      <c r="A1021" s="26"/>
      <c r="B1021" s="23"/>
      <c r="C1021" s="19"/>
      <c r="D1021" s="23"/>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row>
    <row r="1022" ht="56.25" customHeight="1">
      <c r="A1022" s="26"/>
      <c r="B1022" s="23"/>
      <c r="C1022" s="19"/>
      <c r="D1022" s="23"/>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row>
    <row r="1023" ht="56.25" customHeight="1">
      <c r="A1023" s="26"/>
      <c r="B1023" s="23"/>
      <c r="C1023" s="19"/>
      <c r="D1023" s="23"/>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row>
    <row r="1024" ht="56.25" customHeight="1">
      <c r="A1024" s="26"/>
      <c r="B1024" s="23"/>
      <c r="C1024" s="19"/>
      <c r="D1024" s="23"/>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row>
    <row r="1025" ht="56.25" customHeight="1">
      <c r="A1025" s="26"/>
      <c r="B1025" s="23"/>
      <c r="C1025" s="19"/>
      <c r="D1025" s="23"/>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row>
    <row r="1026" ht="56.25" customHeight="1">
      <c r="A1026" s="26"/>
      <c r="B1026" s="23"/>
      <c r="C1026" s="19"/>
      <c r="D1026" s="23"/>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row>
    <row r="1027" ht="56.25" customHeight="1">
      <c r="A1027" s="26"/>
      <c r="B1027" s="23"/>
      <c r="C1027" s="19"/>
      <c r="D1027" s="23"/>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row>
    <row r="1028" ht="56.25" customHeight="1">
      <c r="A1028" s="26"/>
      <c r="B1028" s="23"/>
      <c r="C1028" s="19"/>
      <c r="D1028" s="23"/>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row>
    <row r="1029" ht="56.25" customHeight="1">
      <c r="A1029" s="26"/>
      <c r="B1029" s="23"/>
      <c r="C1029" s="19"/>
      <c r="D1029" s="23"/>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row>
    <row r="1030" ht="56.25" customHeight="1">
      <c r="A1030" s="26"/>
      <c r="B1030" s="23"/>
      <c r="C1030" s="19"/>
      <c r="D1030" s="23"/>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row>
    <row r="1031" ht="56.25" customHeight="1">
      <c r="A1031" s="26"/>
      <c r="B1031" s="23"/>
      <c r="C1031" s="19"/>
      <c r="D1031" s="23"/>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row>
    <row r="1032" ht="56.25" customHeight="1">
      <c r="A1032" s="26"/>
      <c r="B1032" s="23"/>
      <c r="C1032" s="19"/>
      <c r="D1032" s="23"/>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row>
    <row r="1033" ht="56.25" customHeight="1">
      <c r="A1033" s="26"/>
      <c r="B1033" s="23"/>
      <c r="C1033" s="19"/>
      <c r="D1033" s="23"/>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row>
    <row r="1034" ht="56.25" customHeight="1">
      <c r="A1034" s="26"/>
      <c r="B1034" s="23"/>
      <c r="C1034" s="19"/>
      <c r="D1034" s="23"/>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row>
  </sheetData>
  <mergeCells count="41">
    <mergeCell ref="D2:D4"/>
    <mergeCell ref="D6:D8"/>
    <mergeCell ref="D10:D12"/>
    <mergeCell ref="D14:D16"/>
    <mergeCell ref="D18:D20"/>
    <mergeCell ref="D22:D24"/>
    <mergeCell ref="D26:D28"/>
    <mergeCell ref="D30:D32"/>
    <mergeCell ref="D34:D36"/>
    <mergeCell ref="D38:D40"/>
    <mergeCell ref="D42:D44"/>
    <mergeCell ref="D46:D48"/>
    <mergeCell ref="D50:D52"/>
    <mergeCell ref="D54:D56"/>
    <mergeCell ref="D58:D60"/>
    <mergeCell ref="D62:D64"/>
    <mergeCell ref="D66:D68"/>
    <mergeCell ref="D70:D72"/>
    <mergeCell ref="D74:D76"/>
    <mergeCell ref="D78:D80"/>
    <mergeCell ref="D83:D85"/>
    <mergeCell ref="D87:D89"/>
    <mergeCell ref="D91:D93"/>
    <mergeCell ref="D95:D97"/>
    <mergeCell ref="D99:D101"/>
    <mergeCell ref="D103:D105"/>
    <mergeCell ref="D107:D109"/>
    <mergeCell ref="D111:D113"/>
    <mergeCell ref="D143:D145"/>
    <mergeCell ref="D147:D149"/>
    <mergeCell ref="D151:D153"/>
    <mergeCell ref="D155:D157"/>
    <mergeCell ref="D159:D161"/>
    <mergeCell ref="D163:D165"/>
    <mergeCell ref="D115:D117"/>
    <mergeCell ref="D119:D121"/>
    <mergeCell ref="D123:D125"/>
    <mergeCell ref="D127:D129"/>
    <mergeCell ref="D131:D133"/>
    <mergeCell ref="D135:D137"/>
    <mergeCell ref="D139:D141"/>
  </mergeCells>
  <drawing r:id="rId1"/>
</worksheet>
</file>